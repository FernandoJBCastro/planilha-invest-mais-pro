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Cursos DIO\EXCEL com Inteligência Artificial\Projeto Planilha Invest Mais PRO\"/>
    </mc:Choice>
  </mc:AlternateContent>
  <xr:revisionPtr revIDLastSave="0" documentId="13_ncr:1_{2B6AF361-2BC8-444F-AF1E-B128C2B156C9}" xr6:coauthVersionLast="47" xr6:coauthVersionMax="47" xr10:uidLastSave="{00000000-0000-0000-0000-000000000000}"/>
  <bookViews>
    <workbookView xWindow="-108" yWindow="-108" windowWidth="23256" windowHeight="12456" tabRatio="633" xr2:uid="{A29B5664-DB3A-4E6A-990E-C1614234A5BF}"/>
  </bookViews>
  <sheets>
    <sheet name="Principal" sheetId="2" r:id="rId1"/>
    <sheet name="Gráfico1" sheetId="5" r:id="rId2"/>
    <sheet name="Gráfico2" sheetId="7" r:id="rId3"/>
    <sheet name="Gráfico3" sheetId="8" r:id="rId4"/>
    <sheet name="Gráfico4" sheetId="9" r:id="rId5"/>
    <sheet name="Gráfico5" sheetId="10" r:id="rId6"/>
    <sheet name="Ajuda" sheetId="11" r:id="rId7"/>
    <sheet name="Perguntas" sheetId="1" state="hidden" r:id="rId8"/>
    <sheet name="Cores" sheetId="4" state="hidden" r:id="rId9"/>
    <sheet name="Apoio" sheetId="3" state="hidden" r:id="rId10"/>
  </sheets>
  <definedNames>
    <definedName name="aporte">Principal!$D$21</definedName>
    <definedName name="CAGR">Principal!$D$33</definedName>
    <definedName name="despesas_mensais">Principal!$D$15</definedName>
    <definedName name="investimento_mes">Principal!$C$64</definedName>
    <definedName name="juros_patrimonio_inicial">Principal!$D$26</definedName>
    <definedName name="patrimonio_final">Principal!$D$29</definedName>
    <definedName name="patrimonio_inicial">Principal!$D$20</definedName>
    <definedName name="patromonio_viver_renda">Principal!$D$38</definedName>
    <definedName name="percentual_investimento">Principal!$C$17</definedName>
    <definedName name="percentual_salario_cobberto">Principal!#REF!</definedName>
    <definedName name="qtd_anos">Principal!$D$22</definedName>
    <definedName name="renda_mensal_estimada">Principal!$D$30</definedName>
    <definedName name="rendimento_carteira">Principal!$D$16</definedName>
    <definedName name="rendimento_total">Principal!$D$28</definedName>
    <definedName name="salario">Principal!$D$14</definedName>
    <definedName name="sugestao_investimento">Principal!$D$17</definedName>
    <definedName name="taxa_anual">Principal!$D$24</definedName>
    <definedName name="taxa_mensal">Principal!$D$23</definedName>
    <definedName name="total_investido">Principal!$D$27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2" l="1"/>
  <c r="A28" i="2"/>
  <c r="E25" i="2" l="1"/>
  <c r="A25" i="2"/>
  <c r="A26" i="2"/>
  <c r="D25" i="2"/>
  <c r="B25" i="2"/>
  <c r="D38" i="2"/>
  <c r="D27" i="2"/>
  <c r="E27" i="2" s="1"/>
  <c r="D23" i="2"/>
  <c r="C49" i="2" s="1"/>
  <c r="D49" i="2" s="1"/>
  <c r="D17" i="2"/>
  <c r="E20" i="3"/>
  <c r="A20" i="3"/>
  <c r="A19" i="3"/>
  <c r="A18" i="3"/>
  <c r="A17" i="3"/>
  <c r="A16" i="3"/>
  <c r="A15" i="3"/>
  <c r="E14" i="3"/>
  <c r="A14" i="3"/>
  <c r="A13" i="3"/>
  <c r="A12" i="3"/>
  <c r="A11" i="3"/>
  <c r="A10" i="3"/>
  <c r="A9" i="3"/>
  <c r="E8" i="3"/>
  <c r="A8" i="3"/>
  <c r="A7" i="3"/>
  <c r="A6" i="3"/>
  <c r="A5" i="3"/>
  <c r="A4" i="3"/>
  <c r="A3" i="3"/>
  <c r="C72" i="2"/>
  <c r="D72" i="2" s="1"/>
  <c r="C71" i="2"/>
  <c r="D71" i="2" s="1"/>
  <c r="C70" i="2"/>
  <c r="C69" i="2"/>
  <c r="C68" i="2"/>
  <c r="C67" i="2"/>
  <c r="C64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E50" i="2"/>
  <c r="B50" i="2"/>
  <c r="E49" i="2"/>
  <c r="B49" i="2"/>
  <c r="E48" i="2"/>
  <c r="B48" i="2"/>
  <c r="E47" i="2"/>
  <c r="B47" i="2"/>
  <c r="E46" i="2"/>
  <c r="B46" i="2"/>
  <c r="E45" i="2"/>
  <c r="B45" i="2"/>
  <c r="E44" i="2"/>
  <c r="B44" i="2"/>
  <c r="E43" i="2"/>
  <c r="B43" i="2"/>
  <c r="E42" i="2"/>
  <c r="C31" i="2"/>
  <c r="A30" i="2"/>
  <c r="A29" i="2"/>
  <c r="A27" i="2"/>
  <c r="D70" i="2" l="1"/>
  <c r="D67" i="2"/>
  <c r="D68" i="2"/>
  <c r="D69" i="2"/>
  <c r="D26" i="2"/>
  <c r="D29" i="2" s="1"/>
  <c r="D28" i="2" s="1"/>
  <c r="D24" i="2"/>
  <c r="D40" i="2" s="1"/>
  <c r="D73" i="2"/>
  <c r="D39" i="2"/>
  <c r="B31" i="2" s="1"/>
  <c r="D31" i="2" s="1"/>
  <c r="C44" i="2"/>
  <c r="D54" i="2" s="1"/>
  <c r="C47" i="2"/>
  <c r="D57" i="2" s="1"/>
  <c r="C50" i="2"/>
  <c r="D60" i="2" s="1"/>
  <c r="C45" i="2"/>
  <c r="D45" i="2" s="1"/>
  <c r="C48" i="2"/>
  <c r="D58" i="2" s="1"/>
  <c r="C46" i="2"/>
  <c r="D46" i="2" s="1"/>
  <c r="C43" i="2"/>
  <c r="D43" i="2" s="1"/>
  <c r="D59" i="2"/>
  <c r="C73" i="2"/>
  <c r="E29" i="2" l="1"/>
  <c r="E26" i="2"/>
  <c r="D55" i="2"/>
  <c r="D48" i="2"/>
  <c r="D47" i="2"/>
  <c r="D50" i="2"/>
  <c r="D30" i="2"/>
  <c r="D35" i="2"/>
  <c r="D56" i="2"/>
  <c r="D44" i="2"/>
  <c r="D53" i="2"/>
  <c r="E28" i="2"/>
  <c r="D33" i="2" l="1"/>
  <c r="D34" i="2"/>
  <c r="D37" i="2"/>
  <c r="D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Jose Barbosa Castro</author>
  </authors>
  <commentList>
    <comment ref="D23" authorId="0" shapeId="0" xr:uid="{FD4BBE0D-7760-4644-A4A2-17942403B08A}">
      <text>
        <r>
          <rPr>
            <b/>
            <sz val="9"/>
            <color indexed="81"/>
            <rFont val="Segoe UI"/>
            <family val="2"/>
          </rPr>
          <t>Rendimento Carteira por Mês (%)</t>
        </r>
      </text>
    </comment>
    <comment ref="D24" authorId="0" shapeId="0" xr:uid="{F55A6EC8-F92E-4947-8840-FEB5C878833B}">
      <text>
        <r>
          <rPr>
            <b/>
            <sz val="9"/>
            <color indexed="81"/>
            <rFont val="Segoe UI"/>
            <family val="2"/>
          </rPr>
          <t>Rendimento Carteira por Ano (%)</t>
        </r>
      </text>
    </comment>
    <comment ref="D25" authorId="0" shapeId="0" xr:uid="{0E3E0D1A-BF94-405F-92A5-C391A7B10A2D}">
      <text>
        <r>
          <rPr>
            <b/>
            <sz val="9"/>
            <color indexed="81"/>
            <rFont val="Segoe UI"/>
            <family val="2"/>
          </rPr>
          <t>Patrimônio inicial.</t>
        </r>
      </text>
    </comment>
    <comment ref="D26" authorId="0" shapeId="0" xr:uid="{65765545-F0A6-4CF3-A351-33289B956BD7}">
      <text>
        <r>
          <rPr>
            <b/>
            <sz val="9"/>
            <color indexed="81"/>
            <rFont val="Segoe UI"/>
            <family val="2"/>
          </rPr>
          <t>Juros compostos acumulados ao longo do período sobre o patrimônio inicial.</t>
        </r>
      </text>
    </comment>
    <comment ref="D27" authorId="0" shapeId="0" xr:uid="{B93848A6-BBD5-4C51-9A52-2208B3583B1B}">
      <text>
        <r>
          <rPr>
            <b/>
            <sz val="9"/>
            <color indexed="81"/>
            <rFont val="Segoe UI"/>
            <charset val="1"/>
          </rPr>
          <t>Soma total de todos os aportes realizados durante o período.</t>
        </r>
      </text>
    </comment>
    <comment ref="D28" authorId="0" shapeId="0" xr:uid="{A5522159-02C7-4B5A-A310-0C91F6D6428E}">
      <text>
        <r>
          <rPr>
            <b/>
            <sz val="9"/>
            <color indexed="81"/>
            <rFont val="Segoe UI"/>
            <charset val="1"/>
          </rPr>
          <t>Juros compostos acumulados ao longo do período sobre o total investido.</t>
        </r>
      </text>
    </comment>
    <comment ref="D29" authorId="0" shapeId="0" xr:uid="{33C827C1-992C-4880-ABED-823D36837D9C}">
      <text>
        <r>
          <rPr>
            <b/>
            <sz val="9"/>
            <color indexed="81"/>
            <rFont val="Segoe UI"/>
            <charset val="1"/>
          </rPr>
          <t>Valor estimado do patrimônio total ao final do período.</t>
        </r>
      </text>
    </comment>
    <comment ref="D30" authorId="0" shapeId="0" xr:uid="{79F4437A-F6B1-4DAD-BCF1-12B47CCA5CD1}">
      <text>
        <r>
          <rPr>
            <b/>
            <sz val="9"/>
            <color indexed="81"/>
            <rFont val="Segoe UI"/>
            <family val="2"/>
          </rPr>
          <t>Estimativa de renda passiva mensal baseada no patrimônio total projetado.</t>
        </r>
      </text>
    </comment>
    <comment ref="D33" authorId="0" shapeId="0" xr:uid="{95833CC4-B8F1-4F97-B80E-BB68AE613789}">
      <text>
        <r>
          <rPr>
            <b/>
            <sz val="9"/>
            <color indexed="81"/>
            <rFont val="Segoe UI"/>
            <family val="2"/>
          </rPr>
          <t>Mostra o nível de independência financeira em relação ao salário.</t>
        </r>
      </text>
    </comment>
    <comment ref="D34" authorId="0" shapeId="0" xr:uid="{EF18E6D5-9C70-4AB3-A469-12BA377F6DA4}">
      <text>
        <r>
          <rPr>
            <b/>
            <sz val="9"/>
            <color indexed="81"/>
            <rFont val="Segoe UI"/>
            <family val="2"/>
          </rPr>
          <t>Mostra o nível de independência financeira em relação às despesas mensais.</t>
        </r>
      </text>
    </comment>
    <comment ref="D35" authorId="0" shapeId="0" xr:uid="{88CF80F4-ED76-4129-8434-5AEBE5C3EF00}">
      <text>
        <r>
          <rPr>
            <b/>
            <sz val="9"/>
            <color indexed="81"/>
            <rFont val="Segoe UI"/>
            <family val="2"/>
          </rPr>
          <t>Mostra o crescimento médio real do patrimônio ao ano.</t>
        </r>
      </text>
    </comment>
    <comment ref="D36" authorId="0" shapeId="0" xr:uid="{4980A759-1D08-4352-847D-BA7F0A82F36B}">
      <text>
        <r>
          <rPr>
            <b/>
            <sz val="9"/>
            <color indexed="81"/>
            <rFont val="Segoe UI"/>
            <family val="2"/>
          </rPr>
          <t>Mostra quanto do patrimônio veio apenas de rendimento.</t>
        </r>
      </text>
    </comment>
    <comment ref="D37" authorId="0" shapeId="0" xr:uid="{9BE933C2-D446-420A-A75A-0BD252AF1367}">
      <text>
        <r>
          <rPr>
            <b/>
            <sz val="9"/>
            <color indexed="81"/>
            <rFont val="Segoe UI"/>
            <family val="2"/>
          </rPr>
          <t>Mostra quanto cada R$ 1,00 investido gerou de retorno.</t>
        </r>
      </text>
    </comment>
    <comment ref="D38" authorId="0" shapeId="0" xr:uid="{54C67FBB-3C84-4746-94B7-BDE6F4902F12}">
      <text>
        <r>
          <rPr>
            <b/>
            <sz val="9"/>
            <color indexed="81"/>
            <rFont val="Segoe UI"/>
            <family val="2"/>
          </rPr>
          <t>Mostra o patrimônio necessário para cobrir as despesas mensais.</t>
        </r>
      </text>
    </comment>
    <comment ref="D39" authorId="0" shapeId="0" xr:uid="{2C593E25-4DE1-40CD-8FA9-CB53FC7D927B}">
      <text>
        <r>
          <rPr>
            <b/>
            <sz val="9"/>
            <color indexed="81"/>
            <rFont val="Segoe UI"/>
            <family val="2"/>
          </rPr>
          <t>Mostra quantos anos são necessários para viver de renda.</t>
        </r>
      </text>
    </comment>
    <comment ref="D40" authorId="0" shapeId="0" xr:uid="{6EE307D2-3B9D-4CFE-AC51-4BC8F8AA88C2}">
      <text>
        <r>
          <rPr>
            <b/>
            <sz val="9"/>
            <color indexed="81"/>
            <rFont val="Segoe UI"/>
            <family val="2"/>
          </rPr>
          <t>Mostra quantos anos são necessários para dobrar o patrimônio.</t>
        </r>
      </text>
    </comment>
    <comment ref="D52" authorId="0" shapeId="0" xr:uid="{6C229C9E-6BAD-4778-9E7C-4FB1814CD902}">
      <text>
        <r>
          <rPr>
            <b/>
            <sz val="9"/>
            <color indexed="81"/>
            <rFont val="Segoe UI"/>
            <family val="2"/>
          </rPr>
          <t>O Juros Acumulado Total, corresponde aos juros sobre o Patrimônio Inicial mais os juros sobre os Aportes.</t>
        </r>
      </text>
    </comment>
    <comment ref="C63" authorId="0" shapeId="0" xr:uid="{308CA8F0-0114-4EF5-9A9B-5776D83BD6CF}">
      <text>
        <r>
          <rPr>
            <b/>
            <sz val="9"/>
            <color indexed="81"/>
            <rFont val="Segoe UI"/>
            <family val="2"/>
          </rPr>
          <t>Selecione o PERFIL para ajustar o Percentual Sugerido</t>
        </r>
      </text>
    </comment>
  </commentList>
</comments>
</file>

<file path=xl/sharedStrings.xml><?xml version="1.0" encoding="utf-8"?>
<sst xmlns="http://schemas.openxmlformats.org/spreadsheetml/2006/main" count="150" uniqueCount="101">
  <si>
    <t>Por quanos anos?</t>
  </si>
  <si>
    <t>Taxa de rendimento mensal?</t>
  </si>
  <si>
    <t>Quanto de patrimômio acumulado?</t>
  </si>
  <si>
    <t>Quanto investir por mês?</t>
  </si>
  <si>
    <t>Quanto são os dividendos mensais?</t>
  </si>
  <si>
    <t>Objetivo: Criar um Simulador Simples de Investimento</t>
  </si>
  <si>
    <t>INVESTIMENTO MENSAL</t>
  </si>
  <si>
    <t>Cenários</t>
  </si>
  <si>
    <t>CONFIGURAÇÕES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</si>
  <si>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</si>
  <si>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</si>
  <si>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</si>
  <si>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</si>
  <si>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</si>
  <si>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</si>
  <si>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</si>
  <si>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</si>
  <si>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</si>
  <si>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</si>
  <si>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</si>
  <si>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</si>
  <si>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Conservador</t>
  </si>
  <si>
    <t>Moderado</t>
  </si>
  <si>
    <t>CHAVE</t>
  </si>
  <si>
    <t>%</t>
  </si>
  <si>
    <t>Sugestão de Investimento (30%)</t>
  </si>
  <si>
    <t>T O T A L</t>
  </si>
  <si>
    <t>Anos</t>
  </si>
  <si>
    <t>#DAF2D0</t>
  </si>
  <si>
    <t>Célula Editável</t>
  </si>
  <si>
    <t>INDICADORES</t>
  </si>
  <si>
    <t>Percentual de Rendimento sobre o Patrimônio Total</t>
  </si>
  <si>
    <t>Tempo para Dobrar o Patrimônio</t>
  </si>
  <si>
    <t>Percentual do Salário Coberto pelos Dividendos</t>
  </si>
  <si>
    <t>Quanto seu Dinheiro Rende por Mês (%)</t>
  </si>
  <si>
    <t>Quanto seu Dinheiro Rende por Ano (%)</t>
  </si>
  <si>
    <t>Crescimento Médio Real do Patrimônio ao Ano (CAGR)</t>
  </si>
  <si>
    <t>Índice de eficiência do investimento</t>
  </si>
  <si>
    <t>Patrimônio necessário para viver de renda</t>
  </si>
  <si>
    <t>Tempo necessário para viver de renda</t>
  </si>
  <si>
    <t>Percentual das despesas Coberto pelos Dividendos</t>
  </si>
  <si>
    <t>Gastos Mensais</t>
  </si>
  <si>
    <t>Esta planilha é uma ferramenta educacional e não constitui recomendação de investimento.</t>
  </si>
  <si>
    <t>Patrimônio Inicial</t>
  </si>
  <si>
    <t>Quanto Investir por Mês</t>
  </si>
  <si>
    <t>Por Quanos Anos</t>
  </si>
  <si>
    <t/>
  </si>
  <si>
    <t>Juros Acumulado Total</t>
  </si>
  <si>
    <t>Renda Mensal Estimada</t>
  </si>
  <si>
    <t>Renda Mensal Estimada (Dividendos Estimados)</t>
  </si>
  <si>
    <t>Patrimônio Inicial + Total Investido</t>
  </si>
  <si>
    <t>Rendimento Carteira por Mês (%)</t>
  </si>
  <si>
    <t>Esta planilha foi criada para ajudar você a planejar seus investimentos e visualizar o crescimento do seu patrimônio ao longo do tempo.</t>
  </si>
  <si>
    <t>Como usar</t>
  </si>
  <si>
    <t>1. Preencha todos os campos destacados</t>
  </si>
  <si>
    <t>2. Escolha seu perfil de investidor</t>
  </si>
  <si>
    <t>3. Informe o valor mensal a ser investido</t>
  </si>
  <si>
    <t>4. Defina o prazo de investimento</t>
  </si>
  <si>
    <t>5. Analise os gráficos e resultados</t>
  </si>
  <si>
    <t>Importante</t>
  </si>
  <si>
    <t>Utilize valores realistas</t>
  </si>
  <si>
    <t>Revise seus dados periodicamente</t>
  </si>
  <si>
    <t>Esta planilha é apenas uma simulação</t>
  </si>
  <si>
    <t>Pequenos aportes feitos de forma consistente podem gerar grandes resultados no longo prazo!</t>
  </si>
  <si>
    <t>Campo</t>
  </si>
  <si>
    <t>Regra</t>
  </si>
  <si>
    <t>Descrição</t>
  </si>
  <si>
    <t>&gt; 0</t>
  </si>
  <si>
    <t>&gt;= 0</t>
  </si>
  <si>
    <t>Total médio dos seus gastos fixos e variáveis</t>
  </si>
  <si>
    <t>Percentual médio anual esperado</t>
  </si>
  <si>
    <t>Percentual sugerido para investir</t>
  </si>
  <si>
    <t>Valor já investido atualmente</t>
  </si>
  <si>
    <t>Valor que será aportado mensalmente</t>
  </si>
  <si>
    <t>Por Quantos Anos</t>
  </si>
  <si>
    <t>Horizonte de investimento</t>
  </si>
  <si>
    <t>Com base nessas informações, a planilha realiza automaticamente todos os cálculos e gera os gráficos.</t>
  </si>
  <si>
    <t>O usuário também poderá selecionar o Perfil de Investidor:</t>
  </si>
  <si>
    <r>
      <t>Campos preenchidos pelo usuário</t>
    </r>
    <r>
      <rPr>
        <b/>
        <sz val="11"/>
        <color theme="0"/>
        <rFont val="Aptos Narrow"/>
        <family val="2"/>
        <scheme val="minor"/>
      </rPr>
      <t xml:space="preserve"> (Campos na cor verde claro)</t>
    </r>
  </si>
  <si>
    <t>Bem-vindo à Planilha Invest Mais PRO - Simulador Financeiro</t>
  </si>
  <si>
    <t>Invest Mais PRO – Simule quando você poderá viver de renda</t>
  </si>
  <si>
    <t>Informe sua renda mensal líquida média</t>
  </si>
  <si>
    <t>0,01% e 100,00%</t>
  </si>
  <si>
    <t>0,001% e 999,999%</t>
  </si>
  <si>
    <t>Patrimônio Total  Projetado</t>
  </si>
  <si>
    <t>Patrimônio Total Projetado</t>
  </si>
  <si>
    <t>Quanto Investir por Mês (Aporte)</t>
  </si>
  <si>
    <t>Total Invesido (Aporte)</t>
  </si>
  <si>
    <t>Juros Sobre o Partimônio Inicial</t>
  </si>
  <si>
    <t>Juros Sobre Total Investido (Aportes)</t>
  </si>
  <si>
    <t>Salário Líquido</t>
  </si>
  <si>
    <t>Versão: v1.0.0 PRO
Última atualização: Jan/2026</t>
  </si>
  <si>
    <t>Observações Importantes</t>
  </si>
  <si>
    <t>Esta planilha tem finalidade educacional e de simulação. Não constitui recomendação de investimento.</t>
  </si>
  <si>
    <t>Não substitui orientação profissional.</t>
  </si>
  <si>
    <t>Resultados são estimativas, não garantias.</t>
  </si>
  <si>
    <t>Produto: Planilha Invest Mais PRO - Simulador Financeiro</t>
  </si>
  <si>
    <t>Versão: v1.0.0 PRO</t>
  </si>
  <si>
    <t>Data de lançamento: 01/2026</t>
  </si>
  <si>
    <t>Autor: Fernando Castro</t>
  </si>
  <si>
    <t>Fale conosco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</si>
</sst>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_-[$R$-416]\ * #,##0.00_-;\-[$R$-416]\ * #,##0.00_-;_-[$R$-416]\ * &quot;-&quot;??_-;_-@_-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9"/>
      <color indexed="81"/>
      <name val="Segoe UI"/>
      <family val="2"/>
    </font>
    <font>
      <b/>
      <sz val="11"/>
      <color rgb="FFFFFF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9"/>
      <color indexed="81"/>
      <name val="Segoe UI"/>
      <charset val="1"/>
    </font>
    <font>
      <b/>
      <sz val="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theme="0" tint="-0.24994659260841701"/>
      </left>
      <right/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auto="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auto="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24994659260841701"/>
      </bottom>
      <diagonal/>
    </border>
    <border>
      <left style="medium">
        <color auto="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/>
      <diagonal/>
    </border>
    <border>
      <left style="medium">
        <color auto="1"/>
      </left>
      <right style="medium">
        <color indexed="64"/>
      </right>
      <top style="medium">
        <color theme="0" tint="-0.2499465926084170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/>
      <diagonal/>
    </border>
    <border>
      <left style="medium">
        <color theme="0" tint="-0.2499465926084170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theme="0" tint="-0.24994659260841701"/>
      </top>
      <bottom/>
      <diagonal/>
    </border>
    <border>
      <left/>
      <right/>
      <top style="medium">
        <color indexed="64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4" borderId="0" applyNumberFormat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0" fillId="0" borderId="8" xfId="0" applyBorder="1"/>
    <xf numFmtId="0" fontId="0" fillId="0" borderId="8" xfId="0" applyBorder="1" applyAlignment="1" applyProtection="1">
      <alignment vertical="center"/>
      <protection hidden="1"/>
    </xf>
    <xf numFmtId="0" fontId="0" fillId="0" borderId="9" xfId="0" applyBorder="1"/>
    <xf numFmtId="0" fontId="0" fillId="0" borderId="9" xfId="0" applyBorder="1" applyAlignment="1" applyProtection="1">
      <alignment vertical="center"/>
      <protection hidden="1"/>
    </xf>
    <xf numFmtId="9" fontId="0" fillId="0" borderId="8" xfId="4" applyFont="1" applyBorder="1"/>
    <xf numFmtId="9" fontId="0" fillId="0" borderId="0" xfId="4" applyFont="1" applyBorder="1"/>
    <xf numFmtId="9" fontId="0" fillId="0" borderId="9" xfId="4" applyFont="1" applyBorder="1"/>
    <xf numFmtId="0" fontId="1" fillId="5" borderId="3" xfId="0" applyFont="1" applyFill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vertical="center"/>
      <protection hidden="1"/>
    </xf>
    <xf numFmtId="9" fontId="0" fillId="0" borderId="14" xfId="0" applyNumberFormat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vertical="center"/>
      <protection hidden="1"/>
    </xf>
    <xf numFmtId="9" fontId="0" fillId="0" borderId="23" xfId="0" applyNumberFormat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vertical="center"/>
      <protection hidden="1"/>
    </xf>
    <xf numFmtId="9" fontId="0" fillId="0" borderId="25" xfId="0" applyNumberFormat="1" applyBorder="1" applyAlignment="1" applyProtection="1">
      <alignment horizontal="center" vertical="center"/>
      <protection hidden="1"/>
    </xf>
    <xf numFmtId="44" fontId="6" fillId="6" borderId="13" xfId="2" applyFont="1" applyFill="1" applyBorder="1" applyAlignment="1" applyProtection="1">
      <alignment horizontal="right" vertical="center"/>
      <protection locked="0" hidden="1"/>
    </xf>
    <xf numFmtId="164" fontId="6" fillId="6" borderId="14" xfId="0" applyNumberFormat="1" applyFont="1" applyFill="1" applyBorder="1" applyAlignment="1" applyProtection="1">
      <alignment horizontal="center" vertical="center"/>
      <protection locked="0" hidden="1"/>
    </xf>
    <xf numFmtId="0" fontId="0" fillId="6" borderId="14" xfId="1" applyNumberFormat="1" applyFont="1" applyFill="1" applyBorder="1" applyAlignment="1" applyProtection="1">
      <alignment horizontal="center" vertical="center"/>
      <protection locked="0" hidden="1"/>
    </xf>
    <xf numFmtId="0" fontId="9" fillId="6" borderId="4" xfId="3" applyFont="1" applyFill="1" applyBorder="1" applyAlignment="1" applyProtection="1">
      <alignment vertical="center"/>
      <protection hidden="1"/>
    </xf>
    <xf numFmtId="0" fontId="9" fillId="6" borderId="4" xfId="3" applyFont="1" applyFill="1" applyBorder="1" applyAlignment="1" applyProtection="1">
      <alignment horizontal="center" vertical="center"/>
      <protection locked="0" hidden="1"/>
    </xf>
    <xf numFmtId="10" fontId="1" fillId="3" borderId="14" xfId="4" applyNumberFormat="1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vertical="center"/>
      <protection hidden="1"/>
    </xf>
    <xf numFmtId="0" fontId="8" fillId="3" borderId="17" xfId="0" applyFont="1" applyFill="1" applyBorder="1" applyAlignment="1" applyProtection="1">
      <alignment vertical="center"/>
      <protection hidden="1"/>
    </xf>
    <xf numFmtId="0" fontId="8" fillId="3" borderId="18" xfId="0" applyFont="1" applyFill="1" applyBorder="1" applyAlignment="1" applyProtection="1">
      <alignment vertical="center"/>
      <protection hidden="1"/>
    </xf>
    <xf numFmtId="0" fontId="8" fillId="3" borderId="4" xfId="0" applyFont="1" applyFill="1" applyBorder="1" applyAlignment="1" applyProtection="1">
      <alignment vertical="center"/>
      <protection hidden="1"/>
    </xf>
    <xf numFmtId="10" fontId="7" fillId="6" borderId="15" xfId="4" applyNumberFormat="1" applyFont="1" applyFill="1" applyBorder="1" applyAlignment="1" applyProtection="1">
      <alignment horizontal="center" vertical="center"/>
      <protection locked="0" hidden="1"/>
    </xf>
    <xf numFmtId="0" fontId="7" fillId="6" borderId="18" xfId="0" applyFont="1" applyFill="1" applyBorder="1" applyAlignment="1" applyProtection="1">
      <alignment vertical="center"/>
      <protection hidden="1"/>
    </xf>
    <xf numFmtId="10" fontId="1" fillId="3" borderId="26" xfId="4" applyNumberFormat="1" applyFont="1" applyFill="1" applyBorder="1" applyAlignment="1" applyProtection="1">
      <alignment horizontal="center" vertical="center"/>
      <protection hidden="1"/>
    </xf>
    <xf numFmtId="43" fontId="1" fillId="3" borderId="15" xfId="1" applyFont="1" applyFill="1" applyBorder="1" applyAlignment="1" applyProtection="1">
      <alignment horizontal="center" vertical="center"/>
      <protection hidden="1"/>
    </xf>
    <xf numFmtId="165" fontId="6" fillId="6" borderId="23" xfId="2" applyNumberFormat="1" applyFont="1" applyFill="1" applyBorder="1" applyAlignment="1" applyProtection="1">
      <alignment horizontal="right" vertical="center"/>
      <protection locked="0" hidden="1"/>
    </xf>
    <xf numFmtId="44" fontId="1" fillId="3" borderId="14" xfId="2" applyFont="1" applyFill="1" applyBorder="1" applyAlignment="1" applyProtection="1">
      <alignment horizontal="center" vertical="center"/>
      <protection hidden="1"/>
    </xf>
    <xf numFmtId="0" fontId="8" fillId="3" borderId="24" xfId="0" applyFont="1" applyFill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9" fontId="0" fillId="0" borderId="0" xfId="0" applyNumberFormat="1"/>
    <xf numFmtId="44" fontId="0" fillId="0" borderId="0" xfId="2" applyFont="1" applyAlignment="1" applyProtection="1">
      <alignment vertical="center"/>
      <protection hidden="1"/>
    </xf>
    <xf numFmtId="8" fontId="0" fillId="0" borderId="0" xfId="0" applyNumberFormat="1" applyAlignment="1" applyProtection="1">
      <alignment vertical="center"/>
      <protection hidden="1"/>
    </xf>
    <xf numFmtId="44" fontId="1" fillId="3" borderId="14" xfId="2" applyFont="1" applyFill="1" applyBorder="1" applyAlignment="1" applyProtection="1">
      <alignment vertical="center"/>
      <protection hidden="1"/>
    </xf>
    <xf numFmtId="44" fontId="1" fillId="3" borderId="15" xfId="2" applyFont="1" applyFill="1" applyBorder="1" applyAlignment="1" applyProtection="1">
      <alignment vertical="center"/>
      <protection hidden="1"/>
    </xf>
    <xf numFmtId="44" fontId="1" fillId="3" borderId="13" xfId="2" applyFont="1" applyFill="1" applyBorder="1" applyAlignment="1" applyProtection="1">
      <alignment vertical="center"/>
      <protection hidden="1"/>
    </xf>
    <xf numFmtId="44" fontId="1" fillId="3" borderId="19" xfId="2" applyFont="1" applyFill="1" applyBorder="1" applyAlignment="1" applyProtection="1">
      <alignment vertical="center"/>
      <protection hidden="1"/>
    </xf>
    <xf numFmtId="44" fontId="1" fillId="3" borderId="20" xfId="2" applyFont="1" applyFill="1" applyBorder="1" applyAlignment="1" applyProtection="1">
      <alignment vertical="center"/>
      <protection hidden="1"/>
    </xf>
    <xf numFmtId="44" fontId="1" fillId="3" borderId="25" xfId="2" applyFont="1" applyFill="1" applyBorder="1" applyAlignment="1" applyProtection="1">
      <alignment vertical="center"/>
      <protection hidden="1"/>
    </xf>
    <xf numFmtId="44" fontId="1" fillId="3" borderId="29" xfId="2" applyFont="1" applyFill="1" applyBorder="1" applyAlignment="1" applyProtection="1">
      <alignment vertical="center"/>
      <protection hidden="1"/>
    </xf>
    <xf numFmtId="44" fontId="1" fillId="3" borderId="21" xfId="2" applyFont="1" applyFill="1" applyBorder="1" applyAlignment="1" applyProtection="1">
      <alignment vertical="center"/>
      <protection hidden="1"/>
    </xf>
    <xf numFmtId="44" fontId="1" fillId="3" borderId="4" xfId="2" applyFont="1" applyFill="1" applyBorder="1" applyAlignment="1" applyProtection="1">
      <alignment vertical="center"/>
      <protection hidden="1"/>
    </xf>
    <xf numFmtId="44" fontId="0" fillId="0" borderId="23" xfId="2" applyFont="1" applyBorder="1" applyAlignment="1" applyProtection="1">
      <alignment vertical="center"/>
      <protection hidden="1"/>
    </xf>
    <xf numFmtId="44" fontId="0" fillId="0" borderId="14" xfId="2" applyFont="1" applyBorder="1" applyAlignment="1" applyProtection="1">
      <alignment vertical="center"/>
      <protection hidden="1"/>
    </xf>
    <xf numFmtId="0" fontId="0" fillId="0" borderId="0" xfId="0" quotePrefix="1" applyProtection="1"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44" fontId="0" fillId="0" borderId="25" xfId="2" applyFont="1" applyBorder="1" applyAlignment="1" applyProtection="1">
      <alignment vertical="center"/>
      <protection hidden="1"/>
    </xf>
    <xf numFmtId="9" fontId="1" fillId="5" borderId="4" xfId="4" applyFont="1" applyFill="1" applyBorder="1" applyAlignment="1" applyProtection="1">
      <alignment horizontal="center" vertical="center"/>
      <protection hidden="1"/>
    </xf>
    <xf numFmtId="44" fontId="1" fillId="5" borderId="4" xfId="2" applyFont="1" applyFill="1" applyBorder="1" applyAlignment="1" applyProtection="1">
      <alignment vertical="center"/>
      <protection hidden="1"/>
    </xf>
    <xf numFmtId="43" fontId="5" fillId="0" borderId="0" xfId="1" applyFont="1" applyAlignment="1" applyProtection="1">
      <alignment vertical="center"/>
      <protection hidden="1"/>
    </xf>
    <xf numFmtId="44" fontId="5" fillId="0" borderId="0" xfId="2" applyFont="1" applyAlignment="1" applyProtection="1">
      <alignment vertical="center"/>
      <protection hidden="1"/>
    </xf>
    <xf numFmtId="0" fontId="0" fillId="8" borderId="0" xfId="0" applyFill="1" applyAlignment="1" applyProtection="1">
      <alignment vertical="center"/>
      <protection hidden="1"/>
    </xf>
    <xf numFmtId="0" fontId="5" fillId="8" borderId="0" xfId="0" applyFont="1" applyFill="1" applyAlignment="1" applyProtection="1">
      <alignment vertical="center"/>
      <protection hidden="1"/>
    </xf>
    <xf numFmtId="0" fontId="3" fillId="3" borderId="14" xfId="2" applyNumberFormat="1" applyFont="1" applyFill="1" applyBorder="1" applyAlignment="1" applyProtection="1">
      <alignment vertical="center"/>
      <protection hidden="1"/>
    </xf>
    <xf numFmtId="0" fontId="3" fillId="3" borderId="15" xfId="2" applyNumberFormat="1" applyFont="1" applyFill="1" applyBorder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2" fillId="2" borderId="1" xfId="0" applyFont="1" applyFill="1" applyBorder="1" applyAlignment="1" applyProtection="1">
      <alignment vertical="center"/>
      <protection hidden="1"/>
    </xf>
    <xf numFmtId="0" fontId="0" fillId="0" borderId="0" xfId="0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3" fillId="3" borderId="23" xfId="1" applyNumberFormat="1" applyFont="1" applyFill="1" applyBorder="1" applyAlignment="1" applyProtection="1">
      <alignment horizontal="center" vertical="center"/>
      <protection hidden="1"/>
    </xf>
    <xf numFmtId="0" fontId="3" fillId="3" borderId="23" xfId="1" applyNumberFormat="1" applyFont="1" applyFill="1" applyBorder="1" applyAlignment="1" applyProtection="1">
      <alignment vertical="center"/>
      <protection hidden="1"/>
    </xf>
    <xf numFmtId="0" fontId="3" fillId="3" borderId="14" xfId="1" applyNumberFormat="1" applyFont="1" applyFill="1" applyBorder="1" applyAlignment="1" applyProtection="1">
      <alignment horizontal="center" vertical="center"/>
      <protection hidden="1"/>
    </xf>
    <xf numFmtId="0" fontId="3" fillId="3" borderId="14" xfId="1" applyNumberFormat="1" applyFont="1" applyFill="1" applyBorder="1" applyAlignment="1" applyProtection="1">
      <alignment vertical="center"/>
      <protection hidden="1"/>
    </xf>
    <xf numFmtId="0" fontId="3" fillId="3" borderId="14" xfId="0" applyFont="1" applyFill="1" applyBorder="1" applyAlignment="1" applyProtection="1">
      <alignment horizontal="center" vertical="center"/>
      <protection hidden="1"/>
    </xf>
    <xf numFmtId="0" fontId="3" fillId="3" borderId="14" xfId="0" applyFont="1" applyFill="1" applyBorder="1" applyAlignment="1" applyProtection="1">
      <alignment vertical="center"/>
      <protection hidden="1"/>
    </xf>
    <xf numFmtId="0" fontId="3" fillId="3" borderId="15" xfId="0" applyFont="1" applyFill="1" applyBorder="1" applyAlignment="1" applyProtection="1">
      <alignment horizontal="center" vertical="center"/>
      <protection hidden="1"/>
    </xf>
    <xf numFmtId="0" fontId="3" fillId="3" borderId="15" xfId="0" applyFont="1" applyFill="1" applyBorder="1" applyAlignment="1" applyProtection="1">
      <alignment vertical="center"/>
      <protection hidden="1"/>
    </xf>
    <xf numFmtId="44" fontId="1" fillId="6" borderId="15" xfId="2" applyFont="1" applyFill="1" applyBorder="1" applyAlignment="1" applyProtection="1">
      <alignment horizontal="center" vertical="center"/>
      <protection hidden="1"/>
    </xf>
    <xf numFmtId="44" fontId="0" fillId="6" borderId="13" xfId="2" applyFont="1" applyFill="1" applyBorder="1" applyAlignment="1" applyProtection="1">
      <alignment horizontal="center" vertical="center"/>
      <protection locked="0" hidden="1"/>
    </xf>
    <xf numFmtId="44" fontId="0" fillId="6" borderId="14" xfId="2" applyFont="1" applyFill="1" applyBorder="1" applyAlignment="1" applyProtection="1">
      <alignment horizontal="center" vertical="center"/>
      <protection locked="0" hidden="1"/>
    </xf>
    <xf numFmtId="44" fontId="1" fillId="3" borderId="15" xfId="2" applyFont="1" applyFill="1" applyBorder="1" applyAlignment="1" applyProtection="1">
      <alignment horizontal="center" vertical="center"/>
      <protection hidden="1"/>
    </xf>
    <xf numFmtId="0" fontId="0" fillId="3" borderId="23" xfId="2" applyNumberFormat="1" applyFont="1" applyFill="1" applyBorder="1" applyAlignment="1" applyProtection="1">
      <alignment vertical="center"/>
      <protection hidden="1"/>
    </xf>
    <xf numFmtId="0" fontId="18" fillId="0" borderId="0" xfId="0" applyFont="1" applyAlignment="1" applyProtection="1">
      <alignment horizontal="right" vertical="center" wrapText="1"/>
      <protection hidden="1"/>
    </xf>
    <xf numFmtId="0" fontId="8" fillId="3" borderId="7" xfId="0" applyFont="1" applyFill="1" applyBorder="1" applyAlignment="1" applyProtection="1">
      <alignment vertical="center"/>
      <protection hidden="1"/>
    </xf>
    <xf numFmtId="0" fontId="8" fillId="3" borderId="12" xfId="0" applyFont="1" applyFill="1" applyBorder="1" applyAlignment="1" applyProtection="1">
      <alignment vertical="center"/>
      <protection hidden="1"/>
    </xf>
    <xf numFmtId="0" fontId="8" fillId="3" borderId="6" xfId="0" applyFont="1" applyFill="1" applyBorder="1" applyAlignment="1" applyProtection="1">
      <alignment vertical="center"/>
      <protection hidden="1"/>
    </xf>
    <xf numFmtId="0" fontId="8" fillId="3" borderId="11" xfId="0" applyFont="1" applyFill="1" applyBorder="1" applyAlignment="1" applyProtection="1">
      <alignment vertical="center"/>
      <protection hidden="1"/>
    </xf>
    <xf numFmtId="0" fontId="13" fillId="7" borderId="0" xfId="0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7" fillId="6" borderId="5" xfId="0" applyFont="1" applyFill="1" applyBorder="1" applyAlignment="1" applyProtection="1">
      <alignment vertical="center"/>
      <protection hidden="1"/>
    </xf>
    <xf numFmtId="0" fontId="7" fillId="6" borderId="10" xfId="0" applyFont="1" applyFill="1" applyBorder="1" applyAlignment="1" applyProtection="1">
      <alignment vertical="center"/>
      <protection hidden="1"/>
    </xf>
    <xf numFmtId="0" fontId="7" fillId="6" borderId="6" xfId="0" applyFont="1" applyFill="1" applyBorder="1" applyAlignment="1" applyProtection="1">
      <alignment vertical="center"/>
      <protection hidden="1"/>
    </xf>
    <xf numFmtId="0" fontId="7" fillId="6" borderId="11" xfId="0" applyFont="1" applyFill="1" applyBorder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49" fontId="8" fillId="3" borderId="17" xfId="1" applyNumberFormat="1" applyFont="1" applyFill="1" applyBorder="1" applyAlignment="1" applyProtection="1">
      <alignment horizontal="left" vertical="center"/>
      <protection hidden="1"/>
    </xf>
    <xf numFmtId="49" fontId="8" fillId="3" borderId="20" xfId="1" applyNumberFormat="1" applyFont="1" applyFill="1" applyBorder="1" applyAlignment="1" applyProtection="1">
      <alignment horizontal="left" vertical="center"/>
      <protection hidden="1"/>
    </xf>
    <xf numFmtId="49" fontId="8" fillId="3" borderId="27" xfId="1" applyNumberFormat="1" applyFont="1" applyFill="1" applyBorder="1" applyAlignment="1" applyProtection="1">
      <alignment vertical="center"/>
      <protection hidden="1"/>
    </xf>
    <xf numFmtId="49" fontId="8" fillId="3" borderId="28" xfId="1" applyNumberFormat="1" applyFont="1" applyFill="1" applyBorder="1" applyAlignment="1" applyProtection="1">
      <alignment vertical="center"/>
      <protection hidden="1"/>
    </xf>
    <xf numFmtId="0" fontId="8" fillId="3" borderId="17" xfId="0" applyFont="1" applyFill="1" applyBorder="1" applyAlignment="1" applyProtection="1">
      <alignment horizontal="left" vertical="center"/>
      <protection hidden="1"/>
    </xf>
    <xf numFmtId="0" fontId="8" fillId="3" borderId="20" xfId="0" applyFont="1" applyFill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right" vertical="center" wrapText="1"/>
      <protection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15" fillId="2" borderId="3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0" fillId="0" borderId="0" xfId="2" applyNumberFormat="1" applyFont="1" applyAlignment="1">
      <alignment horizontal="left" vertical="center"/>
    </xf>
    <xf numFmtId="0" fontId="10" fillId="2" borderId="1" xfId="0" applyFont="1" applyFill="1" applyBorder="1" applyAlignment="1" applyProtection="1">
      <alignment horizontal="left" vertical="center"/>
      <protection hidden="1"/>
    </xf>
    <xf numFmtId="0" fontId="10" fillId="2" borderId="3" xfId="0" applyFont="1" applyFill="1" applyBorder="1" applyAlignment="1" applyProtection="1">
      <alignment horizontal="left" vertical="center"/>
      <protection hidden="1"/>
    </xf>
    <xf numFmtId="0" fontId="16" fillId="0" borderId="0" xfId="0" applyFont="1" applyAlignment="1">
      <alignment horizontal="center" vertical="center"/>
    </xf>
    <xf numFmtId="0" fontId="3" fillId="3" borderId="16" xfId="2" applyNumberFormat="1" applyFont="1" applyFill="1" applyBorder="1" applyAlignment="1" applyProtection="1">
      <alignment horizontal="left" vertical="center"/>
      <protection hidden="1"/>
    </xf>
    <xf numFmtId="0" fontId="3" fillId="3" borderId="30" xfId="2" applyNumberFormat="1" applyFont="1" applyFill="1" applyBorder="1" applyAlignment="1" applyProtection="1">
      <alignment horizontal="left" vertical="center"/>
      <protection hidden="1"/>
    </xf>
    <xf numFmtId="0" fontId="3" fillId="3" borderId="17" xfId="2" applyNumberFormat="1" applyFont="1" applyFill="1" applyBorder="1" applyAlignment="1" applyProtection="1">
      <alignment horizontal="left" vertical="center"/>
      <protection hidden="1"/>
    </xf>
    <xf numFmtId="0" fontId="3" fillId="3" borderId="31" xfId="2" applyNumberFormat="1" applyFont="1" applyFill="1" applyBorder="1" applyAlignment="1" applyProtection="1">
      <alignment horizontal="left" vertical="center"/>
      <protection hidden="1"/>
    </xf>
    <xf numFmtId="0" fontId="3" fillId="3" borderId="18" xfId="2" applyNumberFormat="1" applyFont="1" applyFill="1" applyBorder="1" applyAlignment="1" applyProtection="1">
      <alignment horizontal="left" vertical="center"/>
      <protection hidden="1"/>
    </xf>
    <xf numFmtId="0" fontId="3" fillId="3" borderId="32" xfId="2" applyNumberFormat="1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protection hidden="1"/>
    </xf>
    <xf numFmtId="0" fontId="18" fillId="0" borderId="0" xfId="0" applyFont="1" applyAlignment="1" applyProtection="1">
      <alignment wrapText="1"/>
      <protection hidden="1"/>
    </xf>
    <xf numFmtId="0" fontId="18" fillId="0" borderId="0" xfId="0" applyFont="1" applyAlignment="1" applyProtection="1">
      <alignment horizontal="left" vertical="center" wrapText="1"/>
      <protection hidden="1"/>
    </xf>
    <xf numFmtId="0" fontId="20" fillId="0" borderId="0" xfId="5" applyFont="1" applyAlignment="1" applyProtection="1">
      <alignment horizontal="right" vertical="center" wrapText="1"/>
      <protection hidden="1"/>
    </xf>
  </cellXfs>
  <cellStyles count="6">
    <cellStyle name="Hiperlink" xfId="5" builtinId="8"/>
    <cellStyle name="Moeda" xfId="2" builtinId="4"/>
    <cellStyle name="Neutro" xfId="3" builtinId="28"/>
    <cellStyle name="Normal" xfId="0" builtinId="0"/>
    <cellStyle name="Porcentagem" xfId="4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Simulação de Cenários</a:t>
            </a:r>
          </a:p>
          <a:p>
            <a:pPr>
              <a:defRPr/>
            </a:pPr>
            <a:r>
              <a:rPr lang="pt-B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Renda Mensal Estimada </a:t>
            </a:r>
            <a:r>
              <a:rPr lang="pt-BR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</a:t>
            </a:r>
            <a:r>
              <a:rPr lang="pt-B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Gastos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Principal!$D$42</c:f>
              <c:strCache>
                <c:ptCount val="1"/>
                <c:pt idx="0">
                  <c:v>Renda Mensal Estimada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Principal!$A$43:$A$50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Principal!$D$43:$D$50</c:f>
              <c:numCache>
                <c:formatCode>_("R$"* #,##0.00_);_("R$"* \(#,##0.00\);_("R$"* "-"??_);_(@_)</c:formatCode>
                <c:ptCount val="8"/>
                <c:pt idx="0">
                  <c:v>388.81425397234045</c:v>
                </c:pt>
                <c:pt idx="1">
                  <c:v>771.68768899486406</c:v>
                </c:pt>
                <c:pt idx="2">
                  <c:v>1810.2708262015688</c:v>
                </c:pt>
                <c:pt idx="3">
                  <c:v>3697.0613827493257</c:v>
                </c:pt>
                <c:pt idx="4">
                  <c:v>7124.787557711541</c:v>
                </c:pt>
                <c:pt idx="5">
                  <c:v>13351.926383347118</c:v>
                </c:pt>
                <c:pt idx="6">
                  <c:v>24664.748929379544</c:v>
                </c:pt>
                <c:pt idx="7">
                  <c:v>45216.716300198081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D-482B-851C-390FBCD01719}"/>
            </c:ext>
          </c:extLst>
        </c:ser>
        <c:ser>
          <c:idx val="1"/>
          <c:order val="1"/>
          <c:tx>
            <c:strRef>
              <c:f>Principal!$E$42</c:f>
              <c:strCache>
                <c:ptCount val="1"/>
                <c:pt idx="0">
                  <c:v>Gastos Mensais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Principal!$A$43:$A$50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Principal!$E$43:$E$50</c:f>
              <c:numCache>
                <c:formatCode>General</c:formatCode>
                <c:ptCount val="8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D-482B-851C-390FBCD01719}"/>
            </c:ext>
          </c:extLst>
        </c:ser>
        <c:ser>
          <c:idx val="2"/>
          <c:order val="2"/>
          <c:tx>
            <c:v>Independência Financeira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Principal!$B$31</c:f>
              <c:numCache>
                <c:formatCode>_(* #,##0.00_);_(* \(#,##0.00\);_(* "-"??_);_(@_)</c:formatCode>
                <c:ptCount val="1"/>
                <c:pt idx="0">
                  <c:v>14.6</c:v>
                </c:pt>
              </c:numCache>
            </c:numRef>
          </c:xVal>
          <c:yVal>
            <c:numRef>
              <c:f>Principal!$C$31</c:f>
              <c:numCache>
                <c:formatCode>_("R$"* #,##0.00_);_("R$"* \(#,##0.00\);_("R$"* "-"??_);_(@_)</c:formatCode>
                <c:ptCount val="1"/>
                <c:pt idx="0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ED-482B-851C-390FBCD0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415743"/>
        <c:axId val="294404223"/>
      </c:scatterChart>
      <c:valAx>
        <c:axId val="294415743"/>
        <c:scaling>
          <c:orientation val="minMax"/>
          <c:max val="35"/>
          <c:min val="5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Prazo em 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404223"/>
        <c:crosses val="autoZero"/>
        <c:crossBetween val="midCat"/>
      </c:valAx>
      <c:valAx>
        <c:axId val="2944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415743"/>
        <c:crossesAt val="1"/>
        <c:crossBetween val="midCat"/>
        <c:majorUnit val="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Simulação de Cenários</a:t>
            </a:r>
          </a:p>
          <a:p>
            <a:pPr>
              <a:defRPr/>
            </a:pPr>
            <a:r>
              <a:rPr lang="pt-BR" sz="1000"/>
              <a:t>Patrimônio Total Projetado</a:t>
            </a:r>
            <a:r>
              <a:rPr lang="pt-BR" sz="1000" baseline="0"/>
              <a:t> </a:t>
            </a:r>
            <a:r>
              <a:rPr lang="pt-BR" sz="1000" b="1" baseline="0"/>
              <a:t>X </a:t>
            </a:r>
            <a:r>
              <a:rPr lang="pt-BR" sz="1000" baseline="0"/>
              <a:t>Renda Mensal Estimada</a:t>
            </a:r>
            <a:endParaRPr lang="pt-BR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Principal!$D$42</c:f>
              <c:strCache>
                <c:ptCount val="1"/>
                <c:pt idx="0">
                  <c:v>Renda Mensal Estimada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Principal!$D$43:$D$50</c:f>
              <c:numCache>
                <c:formatCode>_("R$"* #,##0.00_);_("R$"* \(#,##0.00\);_("R$"* "-"??_);_(@_)</c:formatCode>
                <c:ptCount val="8"/>
                <c:pt idx="0">
                  <c:v>388.81425397234045</c:v>
                </c:pt>
                <c:pt idx="1">
                  <c:v>771.68768899486406</c:v>
                </c:pt>
                <c:pt idx="2">
                  <c:v>1810.2708262015688</c:v>
                </c:pt>
                <c:pt idx="3">
                  <c:v>3697.0613827493257</c:v>
                </c:pt>
                <c:pt idx="4">
                  <c:v>7124.787557711541</c:v>
                </c:pt>
                <c:pt idx="5">
                  <c:v>13351.926383347118</c:v>
                </c:pt>
                <c:pt idx="6">
                  <c:v>24664.748929379544</c:v>
                </c:pt>
                <c:pt idx="7">
                  <c:v>45216.716300198081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4-41FE-A266-1AB59AFE8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1855535"/>
        <c:axId val="1561848815"/>
      </c:barChart>
      <c:lineChart>
        <c:grouping val="standard"/>
        <c:varyColors val="0"/>
        <c:ser>
          <c:idx val="0"/>
          <c:order val="0"/>
          <c:tx>
            <c:strRef>
              <c:f>Principal!$C$42</c:f>
              <c:strCache>
                <c:ptCount val="1"/>
                <c:pt idx="0">
                  <c:v>Patrimônio Total Projetado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Principal!$A$43:$A$50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Principal!$C$43:$C$50</c:f>
              <c:numCache>
                <c:formatCode>_("R$"* #,##0.00_);_("R$"* \(#,##0.00\);_("R$"* "-"??_);_(@_)</c:formatCode>
                <c:ptCount val="8"/>
                <c:pt idx="0">
                  <c:v>38881.425397234045</c:v>
                </c:pt>
                <c:pt idx="1">
                  <c:v>77168.7688994864</c:v>
                </c:pt>
                <c:pt idx="2">
                  <c:v>181027.08262015687</c:v>
                </c:pt>
                <c:pt idx="3">
                  <c:v>369706.13827493257</c:v>
                </c:pt>
                <c:pt idx="4">
                  <c:v>712478.75577115407</c:v>
                </c:pt>
                <c:pt idx="5">
                  <c:v>1335192.6383347118</c:v>
                </c:pt>
                <c:pt idx="6">
                  <c:v>2466474.8929379545</c:v>
                </c:pt>
                <c:pt idx="7">
                  <c:v>4521671.6300198082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4-41FE-A266-1AB59AFE8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461407"/>
        <c:axId val="1391445567"/>
      </c:lineChart>
      <c:catAx>
        <c:axId val="139146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Prazo</a:t>
                </a:r>
                <a:r>
                  <a:rPr lang="pt-BR" baseline="0"/>
                  <a:t> em Anos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445567"/>
        <c:crosses val="autoZero"/>
        <c:auto val="1"/>
        <c:lblAlgn val="ctr"/>
        <c:lblOffset val="100"/>
        <c:tickMarkSkip val="5"/>
        <c:noMultiLvlLbl val="0"/>
      </c:catAx>
      <c:valAx>
        <c:axId val="139144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/>
                  <a:t>Patrimônio Final Projetado</a:t>
                </a:r>
              </a:p>
            </c:rich>
          </c:tx>
          <c:layout>
            <c:manualLayout>
              <c:xMode val="edge"/>
              <c:yMode val="edge"/>
              <c:x val="2.9838281639631731E-2"/>
              <c:y val="0.20760919997348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461407"/>
        <c:crosses val="autoZero"/>
        <c:crossBetween val="between"/>
      </c:valAx>
      <c:valAx>
        <c:axId val="1561848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/>
                  <a:t>Renda Mensal Estimada</a:t>
                </a:r>
              </a:p>
            </c:rich>
          </c:tx>
          <c:layout>
            <c:manualLayout>
              <c:xMode val="edge"/>
              <c:yMode val="edge"/>
              <c:x val="0.58058034069465314"/>
              <c:y val="0.23878639692254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_);_(&quot;R$&quot;* \(#,##0\);_(&quot;R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1855535"/>
        <c:crosses val="max"/>
        <c:crossBetween val="between"/>
      </c:valAx>
      <c:catAx>
        <c:axId val="1561855535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crossAx val="1561848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Simulação de Cenários</a:t>
            </a:r>
          </a:p>
          <a:p>
            <a:pPr>
              <a:defRPr/>
            </a:pPr>
            <a:r>
              <a:rPr lang="pt-B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Patrimônio Inicial + Total Investido </a:t>
            </a:r>
            <a:r>
              <a:rPr lang="pt-BR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</a:t>
            </a:r>
            <a:r>
              <a:rPr lang="pt-B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Juros Acumulado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Principal!$C$52</c:f>
              <c:strCache>
                <c:ptCount val="1"/>
                <c:pt idx="0">
                  <c:v>Patrimônio Inicial + Total Investido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Principal!$A$53:$A$60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Principal!$C$53:$C$60</c:f>
              <c:numCache>
                <c:formatCode>_("R$"* #,##0.00_);_("R$"* \(#,##0.00\);_("R$"* "-"??_);_(@_)</c:formatCode>
                <c:ptCount val="8"/>
                <c:pt idx="0">
                  <c:v>32000</c:v>
                </c:pt>
                <c:pt idx="1">
                  <c:v>50000</c:v>
                </c:pt>
                <c:pt idx="2">
                  <c:v>80000</c:v>
                </c:pt>
                <c:pt idx="3">
                  <c:v>110000</c:v>
                </c:pt>
                <c:pt idx="4">
                  <c:v>140000</c:v>
                </c:pt>
                <c:pt idx="5">
                  <c:v>170000</c:v>
                </c:pt>
                <c:pt idx="6">
                  <c:v>200000</c:v>
                </c:pt>
                <c:pt idx="7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8-4133-AA42-7789254F1E4E}"/>
            </c:ext>
          </c:extLst>
        </c:ser>
        <c:ser>
          <c:idx val="1"/>
          <c:order val="1"/>
          <c:tx>
            <c:strRef>
              <c:f>Principal!$D$52</c:f>
              <c:strCache>
                <c:ptCount val="1"/>
                <c:pt idx="0">
                  <c:v>Juros Acumulado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Principal!$A$53:$A$60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Principal!$D$53:$D$60</c:f>
              <c:numCache>
                <c:formatCode>_("R$"* #,##0.00_);_("R$"* \(#,##0.00\);_("R$"* "-"??_);_(@_)</c:formatCode>
                <c:ptCount val="8"/>
                <c:pt idx="0">
                  <c:v>6881.4253972340448</c:v>
                </c:pt>
                <c:pt idx="1">
                  <c:v>27168.7688994864</c:v>
                </c:pt>
                <c:pt idx="2">
                  <c:v>101027.08262015687</c:v>
                </c:pt>
                <c:pt idx="3">
                  <c:v>259706.13827493257</c:v>
                </c:pt>
                <c:pt idx="4">
                  <c:v>572478.75577115407</c:v>
                </c:pt>
                <c:pt idx="5">
                  <c:v>1165192.6383347118</c:v>
                </c:pt>
                <c:pt idx="6">
                  <c:v>2266474.8929379545</c:v>
                </c:pt>
                <c:pt idx="7">
                  <c:v>4291671.6300198082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8-4133-AA42-7789254F1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496863"/>
        <c:axId val="294506943"/>
      </c:areaChart>
      <c:catAx>
        <c:axId val="29449686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Prazo em 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506943"/>
        <c:crosses val="autoZero"/>
        <c:auto val="1"/>
        <c:lblAlgn val="ctr"/>
        <c:lblOffset val="100"/>
        <c:noMultiLvlLbl val="0"/>
      </c:catAx>
      <c:valAx>
        <c:axId val="29450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496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Principal!$B$65</c:f>
          <c:strCache>
            <c:ptCount val="1"/>
            <c:pt idx="0">
              <c:v>Percentual Sugerido para o Perfil 
Moderado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Principal!$C$66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80-4634-B293-FF276CB789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80-4634-B293-FF276CB789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80-4634-B293-FF276CB789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80-4634-B293-FF276CB789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80-4634-B293-FF276CB789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80-4634-B293-FF276CB789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Principal!$B$67:$B$72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Principal!$C$67:$C$72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80-4634-B293-FF276CB7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Patrimônio Total Projetado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50434974702596E-2"/>
          <c:y val="0.16362573231354677"/>
          <c:w val="0.90756410256410258"/>
          <c:h val="0.64273800846602136"/>
        </c:manualLayout>
      </c:layout>
      <c:ofPieChart>
        <c:ofPieType val="pie"/>
        <c:varyColors val="1"/>
        <c:ser>
          <c:idx val="0"/>
          <c:order val="0"/>
          <c:tx>
            <c:strRef>
              <c:f>Principal!$A$25:$A$28</c:f>
              <c:strCache>
                <c:ptCount val="4"/>
                <c:pt idx="0">
                  <c:v>Patrimônio Inicial</c:v>
                </c:pt>
                <c:pt idx="1">
                  <c:v>Juros Sobre o Partimônio Inicial</c:v>
                </c:pt>
                <c:pt idx="2">
                  <c:v>Total Invesido (Aporte)</c:v>
                </c:pt>
                <c:pt idx="3">
                  <c:v>Juros Sobre Total Investido (Aportes)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B4-4113-84B0-1D85CF3C33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B4-4113-84B0-1D85CF3C3344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B4-4113-84B0-1D85CF3C3344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B4-4113-84B0-1D85CF3C3344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475-4BD4-9C05-E8E5FA22E4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Principal!$A$25:$A$28</c:f>
              <c:strCache>
                <c:ptCount val="4"/>
                <c:pt idx="0">
                  <c:v>Patrimônio Inicial</c:v>
                </c:pt>
                <c:pt idx="1">
                  <c:v>Juros Sobre o Partimônio Inicial</c:v>
                </c:pt>
                <c:pt idx="2">
                  <c:v>Total Invesido (Aporte)</c:v>
                </c:pt>
                <c:pt idx="3">
                  <c:v>Juros Sobre Total Investido (Aportes)</c:v>
                </c:pt>
              </c:strCache>
            </c:strRef>
          </c:cat>
          <c:val>
            <c:numRef>
              <c:f>Principal!$E$25:$E$28</c:f>
              <c:numCache>
                <c:formatCode>_("R$"* #,##0.00_);_("R$"* \(#,##0.00\);_("R$"* "-"??_);_(@_)</c:formatCode>
                <c:ptCount val="4"/>
                <c:pt idx="0">
                  <c:v>20000</c:v>
                </c:pt>
                <c:pt idx="1">
                  <c:v>16333.933971281826</c:v>
                </c:pt>
                <c:pt idx="2">
                  <c:v>30000</c:v>
                </c:pt>
                <c:pt idx="3">
                  <c:v>10834.834928204575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B4-4113-84B0-1D85CF3C33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Patrimônio Total Projetado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8059197085852361E-3"/>
          <c:y val="0.18368032077707735"/>
          <c:w val="0.99023781328125537"/>
          <c:h val="0.70044804821834938"/>
        </c:manualLayout>
      </c:layout>
      <c:ofPieChart>
        <c:ofPieType val="pie"/>
        <c:varyColors val="1"/>
        <c:ser>
          <c:idx val="0"/>
          <c:order val="0"/>
          <c:tx>
            <c:strRef>
              <c:f>Principal!$A$25:$A$28</c:f>
              <c:strCache>
                <c:ptCount val="4"/>
                <c:pt idx="0">
                  <c:v>Patrimônio Inicial</c:v>
                </c:pt>
                <c:pt idx="1">
                  <c:v>Juros Sobre o Partimônio Inicial</c:v>
                </c:pt>
                <c:pt idx="2">
                  <c:v>Total Invesido (Aporte)</c:v>
                </c:pt>
                <c:pt idx="3">
                  <c:v>Juros Sobre Total Investido (Aportes)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9A-46F7-BE6C-A582E761EC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9A-46F7-BE6C-A582E761EC8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9A-46F7-BE6C-A582E761EC8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B66-4ADA-8372-C62A9040D9E8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226-4AE2-8458-84C7EAC3068D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Juros Sobre Total Investido (Aportes)</a:t>
                    </a:r>
                    <a:endParaRPr lang="en-US" baseline="0"/>
                  </a:p>
                  <a:p>
                    <a:fld id="{990C2A82-6464-4EAC-8D86-8913E7821843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B66-4ADA-8372-C62A9040D9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Patrimônio Total Projetado</a:t>
                    </a:r>
                    <a:r>
                      <a:rPr lang="en-US" baseline="0"/>
                      <a:t>
</a:t>
                    </a:r>
                    <a:fld id="{0BFA18AF-5EB9-4F06-AF60-8794E1065BB3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9226-4AE2-8458-84C7EAC306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Principal!$A$25:$A$28</c:f>
              <c:strCache>
                <c:ptCount val="4"/>
                <c:pt idx="0">
                  <c:v>Patrimônio Inicial</c:v>
                </c:pt>
                <c:pt idx="1">
                  <c:v>Juros Sobre o Partimônio Inicial</c:v>
                </c:pt>
                <c:pt idx="2">
                  <c:v>Total Invesido (Aporte)</c:v>
                </c:pt>
                <c:pt idx="3">
                  <c:v>Juros Sobre Total Investido (Aportes)</c:v>
                </c:pt>
              </c:strCache>
            </c:strRef>
          </c:cat>
          <c:val>
            <c:numRef>
              <c:f>Principal!$E$25:$E$28</c:f>
              <c:numCache>
                <c:formatCode>_("R$"* #,##0.00_);_("R$"* \(#,##0.00\);_("R$"* "-"??_);_(@_)</c:formatCode>
                <c:ptCount val="4"/>
                <c:pt idx="0">
                  <c:v>20000</c:v>
                </c:pt>
                <c:pt idx="1">
                  <c:v>16333.933971281826</c:v>
                </c:pt>
                <c:pt idx="2">
                  <c:v>30000</c:v>
                </c:pt>
                <c:pt idx="3">
                  <c:v>10834.834928204575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9A-46F7-BE6C-A582E761E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Simulação de Cenários</a:t>
            </a:r>
          </a:p>
          <a:p>
            <a:pPr>
              <a:defRPr/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Renda Mensal Estimada </a:t>
            </a: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Gastos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Principal!$D$42</c:f>
              <c:strCache>
                <c:ptCount val="1"/>
                <c:pt idx="0">
                  <c:v>Renda Mensal Estimada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Principal!$A$43:$A$50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Principal!$D$43:$D$50</c:f>
              <c:numCache>
                <c:formatCode>_("R$"* #,##0.00_);_("R$"* \(#,##0.00\);_("R$"* "-"??_);_(@_)</c:formatCode>
                <c:ptCount val="8"/>
                <c:pt idx="0">
                  <c:v>388.81425397234045</c:v>
                </c:pt>
                <c:pt idx="1">
                  <c:v>771.68768899486406</c:v>
                </c:pt>
                <c:pt idx="2">
                  <c:v>1810.2708262015688</c:v>
                </c:pt>
                <c:pt idx="3">
                  <c:v>3697.0613827493257</c:v>
                </c:pt>
                <c:pt idx="4">
                  <c:v>7124.787557711541</c:v>
                </c:pt>
                <c:pt idx="5">
                  <c:v>13351.926383347118</c:v>
                </c:pt>
                <c:pt idx="6">
                  <c:v>24664.748929379544</c:v>
                </c:pt>
                <c:pt idx="7">
                  <c:v>45216.716300198081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3-4541-8F99-C060A78C714C}"/>
            </c:ext>
          </c:extLst>
        </c:ser>
        <c:ser>
          <c:idx val="1"/>
          <c:order val="1"/>
          <c:tx>
            <c:strRef>
              <c:f>Principal!$E$42</c:f>
              <c:strCache>
                <c:ptCount val="1"/>
                <c:pt idx="0">
                  <c:v>Gastos Mensais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Principal!$A$43:$A$50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Principal!$E$43:$E$50</c:f>
              <c:numCache>
                <c:formatCode>General</c:formatCode>
                <c:ptCount val="8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3-4541-8F99-C060A78C714C}"/>
            </c:ext>
          </c:extLst>
        </c:ser>
        <c:ser>
          <c:idx val="2"/>
          <c:order val="2"/>
          <c:tx>
            <c:v>Independência Financeira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699132939970703E-2"/>
                  <c:y val="-0.12005526468877245"/>
                </c:manualLayout>
              </c:layout>
              <c:tx>
                <c:rich>
                  <a:bodyPr/>
                  <a:lstStyle/>
                  <a:p>
                    <a:fld id="{B721BDD0-687F-484A-A6B2-DA5A770F36B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8C3-4541-8F99-C060A78C714C}"/>
                </c:ext>
              </c:extLst>
            </c:dLbl>
            <c:spPr>
              <a:solidFill>
                <a:schemeClr val="bg1">
                  <a:lumMod val="75000"/>
                  <a:alpha val="90000"/>
                </a:schemeClr>
              </a:solidFill>
              <a:ln cap="rnd">
                <a:solidFill>
                  <a:schemeClr val="bg1">
                    <a:lumMod val="75000"/>
                  </a:schemeClr>
                </a:solidFill>
                <a:round/>
              </a:ln>
              <a:effectLst>
                <a:softEdge rad="6350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Principal!$B$31</c:f>
              <c:numCache>
                <c:formatCode>_(* #,##0.00_);_(* \(#,##0.00\);_(* "-"??_);_(@_)</c:formatCode>
                <c:ptCount val="1"/>
                <c:pt idx="0">
                  <c:v>14.6</c:v>
                </c:pt>
              </c:numCache>
            </c:numRef>
          </c:xVal>
          <c:yVal>
            <c:numRef>
              <c:f>Principal!$C$31</c:f>
              <c:numCache>
                <c:formatCode>_("R$"* #,##0.00_);_("R$"* \(#,##0.00\);_("R$"* "-"??_);_(@_)</c:formatCode>
                <c:ptCount val="1"/>
                <c:pt idx="0">
                  <c:v>3500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Principal!$D$31</c15:f>
                <c15:dlblRangeCache>
                  <c:ptCount val="1"/>
                  <c:pt idx="0">
                    <c:v>Independência Financeira
📅 14,6 anos
💰 R$ 3.500,00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8C3-4541-8F99-C060A78C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415743"/>
        <c:axId val="294404223"/>
      </c:scatterChart>
      <c:valAx>
        <c:axId val="294415743"/>
        <c:scaling>
          <c:orientation val="minMax"/>
          <c:max val="35"/>
          <c:min val="5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Prazo em 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404223"/>
        <c:crosses val="autoZero"/>
        <c:crossBetween val="midCat"/>
      </c:valAx>
      <c:valAx>
        <c:axId val="2944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415743"/>
        <c:crossesAt val="1"/>
        <c:crossBetween val="midCat"/>
        <c:majorUnit val="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/>
              <a:t>Simulação de Cenários</a:t>
            </a:r>
          </a:p>
          <a:p>
            <a:pPr>
              <a:defRPr/>
            </a:pPr>
            <a:r>
              <a:rPr lang="pt-BR" sz="1200"/>
              <a:t>Patrimônio Final Projetado</a:t>
            </a:r>
            <a:r>
              <a:rPr lang="pt-BR" sz="1200" baseline="0"/>
              <a:t> </a:t>
            </a:r>
            <a:r>
              <a:rPr lang="pt-BR" sz="1200" b="1" baseline="0"/>
              <a:t>X</a:t>
            </a:r>
            <a:r>
              <a:rPr lang="pt-BR" sz="1200" baseline="0"/>
              <a:t> Renda Mensal Estimada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Principal!$D$42</c:f>
              <c:strCache>
                <c:ptCount val="1"/>
                <c:pt idx="0">
                  <c:v>Renda Mensal Estimada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Principal!$D$43:$D$50</c:f>
              <c:numCache>
                <c:formatCode>_("R$"* #,##0.00_);_("R$"* \(#,##0.00\);_("R$"* "-"??_);_(@_)</c:formatCode>
                <c:ptCount val="8"/>
                <c:pt idx="0">
                  <c:v>388.81425397234045</c:v>
                </c:pt>
                <c:pt idx="1">
                  <c:v>771.68768899486406</c:v>
                </c:pt>
                <c:pt idx="2">
                  <c:v>1810.2708262015688</c:v>
                </c:pt>
                <c:pt idx="3">
                  <c:v>3697.0613827493257</c:v>
                </c:pt>
                <c:pt idx="4">
                  <c:v>7124.787557711541</c:v>
                </c:pt>
                <c:pt idx="5">
                  <c:v>13351.926383347118</c:v>
                </c:pt>
                <c:pt idx="6">
                  <c:v>24664.748929379544</c:v>
                </c:pt>
                <c:pt idx="7">
                  <c:v>45216.716300198081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1-4ECE-9968-732C75CBF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1855535"/>
        <c:axId val="1561848815"/>
      </c:barChart>
      <c:lineChart>
        <c:grouping val="standard"/>
        <c:varyColors val="0"/>
        <c:ser>
          <c:idx val="0"/>
          <c:order val="0"/>
          <c:tx>
            <c:strRef>
              <c:f>Principal!$C$42</c:f>
              <c:strCache>
                <c:ptCount val="1"/>
                <c:pt idx="0">
                  <c:v>Patrimônio Total Projetado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Principal!$A$43:$A$50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Principal!$C$43:$C$50</c:f>
              <c:numCache>
                <c:formatCode>_("R$"* #,##0.00_);_("R$"* \(#,##0.00\);_("R$"* "-"??_);_(@_)</c:formatCode>
                <c:ptCount val="8"/>
                <c:pt idx="0">
                  <c:v>38881.425397234045</c:v>
                </c:pt>
                <c:pt idx="1">
                  <c:v>77168.7688994864</c:v>
                </c:pt>
                <c:pt idx="2">
                  <c:v>181027.08262015687</c:v>
                </c:pt>
                <c:pt idx="3">
                  <c:v>369706.13827493257</c:v>
                </c:pt>
                <c:pt idx="4">
                  <c:v>712478.75577115407</c:v>
                </c:pt>
                <c:pt idx="5">
                  <c:v>1335192.6383347118</c:v>
                </c:pt>
                <c:pt idx="6">
                  <c:v>2466474.8929379545</c:v>
                </c:pt>
                <c:pt idx="7">
                  <c:v>4521671.6300198082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21-4ECE-9968-732C75CBF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461407"/>
        <c:axId val="1391445567"/>
      </c:lineChart>
      <c:catAx>
        <c:axId val="139146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Prazo</a:t>
                </a:r>
                <a:r>
                  <a:rPr lang="pt-BR" sz="1200" baseline="0"/>
                  <a:t> em Anos</a:t>
                </a:r>
                <a:endParaRPr lang="pt-BR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445567"/>
        <c:crosses val="autoZero"/>
        <c:auto val="1"/>
        <c:lblAlgn val="ctr"/>
        <c:lblOffset val="100"/>
        <c:noMultiLvlLbl val="0"/>
      </c:catAx>
      <c:valAx>
        <c:axId val="139144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Patrimônio Final Projetado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1461407"/>
        <c:crosses val="autoZero"/>
        <c:crossBetween val="between"/>
      </c:valAx>
      <c:valAx>
        <c:axId val="1561848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Renda Mensal Esimada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_);_(&quot;R$&quot;* \(#,##0\);_(&quot;R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1855535"/>
        <c:crosses val="max"/>
        <c:crossBetween val="between"/>
      </c:valAx>
      <c:catAx>
        <c:axId val="1561855535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crossAx val="1561848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Simulação de Cenários</a:t>
            </a:r>
          </a:p>
          <a:p>
            <a:pPr>
              <a:defRPr/>
            </a:pP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Patrimônio Inicial + Total Investido </a:t>
            </a:r>
            <a:r>
              <a:rPr lang="pt-BR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</a:t>
            </a: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Juros Acumulado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Principal!$C$52</c:f>
              <c:strCache>
                <c:ptCount val="1"/>
                <c:pt idx="0">
                  <c:v>Patrimônio Inicial + Total Investido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Principal!$A$53:$A$60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Principal!$C$53:$C$60</c:f>
              <c:numCache>
                <c:formatCode>_("R$"* #,##0.00_);_("R$"* \(#,##0.00\);_("R$"* "-"??_);_(@_)</c:formatCode>
                <c:ptCount val="8"/>
                <c:pt idx="0">
                  <c:v>32000</c:v>
                </c:pt>
                <c:pt idx="1">
                  <c:v>50000</c:v>
                </c:pt>
                <c:pt idx="2">
                  <c:v>80000</c:v>
                </c:pt>
                <c:pt idx="3">
                  <c:v>110000</c:v>
                </c:pt>
                <c:pt idx="4">
                  <c:v>140000</c:v>
                </c:pt>
                <c:pt idx="5">
                  <c:v>170000</c:v>
                </c:pt>
                <c:pt idx="6">
                  <c:v>200000</c:v>
                </c:pt>
                <c:pt idx="7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5-4426-B197-709B27388444}"/>
            </c:ext>
          </c:extLst>
        </c:ser>
        <c:ser>
          <c:idx val="1"/>
          <c:order val="1"/>
          <c:tx>
            <c:strRef>
              <c:f>Principal!$D$52</c:f>
              <c:strCache>
                <c:ptCount val="1"/>
                <c:pt idx="0">
                  <c:v>Juros Acumulado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Principal!$A$53:$A$60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cat>
          <c:val>
            <c:numRef>
              <c:f>Principal!$D$53:$D$60</c:f>
              <c:numCache>
                <c:formatCode>_("R$"* #,##0.00_);_("R$"* \(#,##0.00\);_("R$"* "-"??_);_(@_)</c:formatCode>
                <c:ptCount val="8"/>
                <c:pt idx="0">
                  <c:v>6881.4253972340448</c:v>
                </c:pt>
                <c:pt idx="1">
                  <c:v>27168.7688994864</c:v>
                </c:pt>
                <c:pt idx="2">
                  <c:v>101027.08262015687</c:v>
                </c:pt>
                <c:pt idx="3">
                  <c:v>259706.13827493257</c:v>
                </c:pt>
                <c:pt idx="4">
                  <c:v>572478.75577115407</c:v>
                </c:pt>
                <c:pt idx="5">
                  <c:v>1165192.6383347118</c:v>
                </c:pt>
                <c:pt idx="6">
                  <c:v>2266474.8929379545</c:v>
                </c:pt>
                <c:pt idx="7">
                  <c:v>4291671.6300198082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5-4426-B197-709B27388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496863"/>
        <c:axId val="294506943"/>
      </c:areaChart>
      <c:catAx>
        <c:axId val="29449686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Prazo em 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506943"/>
        <c:crosses val="autoZero"/>
        <c:auto val="1"/>
        <c:lblAlgn val="ctr"/>
        <c:lblOffset val="100"/>
        <c:noMultiLvlLbl val="0"/>
      </c:catAx>
      <c:valAx>
        <c:axId val="29450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496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Principal!$B$65</c:f>
          <c:strCache>
            <c:ptCount val="1"/>
            <c:pt idx="0">
              <c:v>Percentual Sugerido para o Perfil 
Moderado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Principal!$C$66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2B-4309-820B-5D6AC0D15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2B-4309-820B-5D6AC0D152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2B-4309-820B-5D6AC0D152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2B-4309-820B-5D6AC0D152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2B-4309-820B-5D6AC0D152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2B-4309-820B-5D6AC0D152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Principal!$B$67:$B$72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Principal!$C$67:$C$72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2B-4309-820B-5D6AC0D15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Gr&#225;fico5!A1"/><Relationship Id="rId13" Type="http://schemas.openxmlformats.org/officeDocument/2006/relationships/image" Target="../media/image2.png"/><Relationship Id="rId3" Type="http://schemas.openxmlformats.org/officeDocument/2006/relationships/chart" Target="../charts/chart1.xml"/><Relationship Id="rId7" Type="http://schemas.openxmlformats.org/officeDocument/2006/relationships/chart" Target="../charts/chart3.xml"/><Relationship Id="rId12" Type="http://schemas.openxmlformats.org/officeDocument/2006/relationships/hyperlink" Target="#Ajuda!A1"/><Relationship Id="rId2" Type="http://schemas.openxmlformats.org/officeDocument/2006/relationships/hyperlink" Target="#Gr&#225;fico2!A1"/><Relationship Id="rId1" Type="http://schemas.openxmlformats.org/officeDocument/2006/relationships/image" Target="../media/image1.png"/><Relationship Id="rId6" Type="http://schemas.openxmlformats.org/officeDocument/2006/relationships/hyperlink" Target="#Gr&#225;fico4!A1"/><Relationship Id="rId11" Type="http://schemas.openxmlformats.org/officeDocument/2006/relationships/chart" Target="../charts/chart5.xml"/><Relationship Id="rId5" Type="http://schemas.openxmlformats.org/officeDocument/2006/relationships/chart" Target="../charts/chart2.xml"/><Relationship Id="rId10" Type="http://schemas.openxmlformats.org/officeDocument/2006/relationships/hyperlink" Target="#Gr&#225;fico1!A1"/><Relationship Id="rId4" Type="http://schemas.openxmlformats.org/officeDocument/2006/relationships/hyperlink" Target="#Gr&#225;fico3!A1"/><Relationship Id="rId9" Type="http://schemas.openxmlformats.org/officeDocument/2006/relationships/chart" Target="../charts/chart4.xml"/><Relationship Id="rId1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hyperlink" Target="#Principal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hyperlink" Target="#Principal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hyperlink" Target="#Principal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2</xdr:row>
      <xdr:rowOff>1</xdr:rowOff>
    </xdr:from>
    <xdr:to>
      <xdr:col>13</xdr:col>
      <xdr:colOff>1043940</xdr:colOff>
      <xdr:row>10</xdr:row>
      <xdr:rowOff>121921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9EA1A032-C345-5996-E228-9001AF22C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73381"/>
          <a:ext cx="9966960" cy="158496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15</xdr:col>
      <xdr:colOff>3225</xdr:colOff>
      <xdr:row>40</xdr:row>
      <xdr:rowOff>9526</xdr:rowOff>
    </xdr:to>
    <xdr:graphicFrame macro="">
      <xdr:nvGraphicFramePr>
        <xdr:cNvPr id="6" name="Gráfic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C6A75E-D0C9-473A-809B-F32C0A478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15</xdr:col>
      <xdr:colOff>3225</xdr:colOff>
      <xdr:row>50</xdr:row>
      <xdr:rowOff>9825</xdr:rowOff>
    </xdr:to>
    <xdr:graphicFrame macro="">
      <xdr:nvGraphicFramePr>
        <xdr:cNvPr id="7" name="Gráfic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9AA34E-66CA-4F8F-BC64-E18A9D0B2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15</xdr:col>
      <xdr:colOff>3225</xdr:colOff>
      <xdr:row>60</xdr:row>
      <xdr:rowOff>9825</xdr:rowOff>
    </xdr:to>
    <xdr:graphicFrame macro="">
      <xdr:nvGraphicFramePr>
        <xdr:cNvPr id="9" name="Gráfic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C5F7F86-3977-4814-9A5C-7251D8F04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62</xdr:row>
      <xdr:rowOff>0</xdr:rowOff>
    </xdr:from>
    <xdr:to>
      <xdr:col>15</xdr:col>
      <xdr:colOff>4920</xdr:colOff>
      <xdr:row>73</xdr:row>
      <xdr:rowOff>7620</xdr:rowOff>
    </xdr:to>
    <xdr:graphicFrame macro="">
      <xdr:nvGraphicFramePr>
        <xdr:cNvPr id="11" name="Gráfic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38CF5A-FB55-4977-BC7B-21C2C949A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15</xdr:col>
      <xdr:colOff>3225</xdr:colOff>
      <xdr:row>30</xdr:row>
      <xdr:rowOff>15240</xdr:rowOff>
    </xdr:to>
    <xdr:graphicFrame macro="">
      <xdr:nvGraphicFramePr>
        <xdr:cNvPr id="3" name="Gráfico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95373E3-E93A-4570-85B3-A09A89798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435823</xdr:colOff>
      <xdr:row>1</xdr:row>
      <xdr:rowOff>144781</xdr:rowOff>
    </xdr:to>
    <xdr:pic>
      <xdr:nvPicPr>
        <xdr:cNvPr id="10" name="Imagem 9" descr="Clique para obter ajuda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A9188B4-DC77-1554-9EF2-906CDE527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"/>
          <a:ext cx="435823" cy="373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121920</xdr:rowOff>
    </xdr:to>
    <xdr:sp macro="" textlink="">
      <xdr:nvSpPr>
        <xdr:cNvPr id="1041" name="AutoShape 17" descr="Imagem gerada">
          <a:extLst>
            <a:ext uri="{FF2B5EF4-FFF2-40B4-BE49-F238E27FC236}">
              <a16:creationId xmlns:a16="http://schemas.microsoft.com/office/drawing/2014/main" id="{CF04DC50-1704-FF2A-7CF0-1F3E31935FDD}"/>
            </a:ext>
          </a:extLst>
        </xdr:cNvPr>
        <xdr:cNvSpPr>
          <a:spLocks noChangeAspect="1" noChangeArrowheads="1"/>
        </xdr:cNvSpPr>
      </xdr:nvSpPr>
      <xdr:spPr bwMode="auto">
        <a:xfrm>
          <a:off x="213360" y="3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121920</xdr:rowOff>
    </xdr:to>
    <xdr:sp macro="" textlink="">
      <xdr:nvSpPr>
        <xdr:cNvPr id="1042" name="AutoShape 18" descr="Imagem gerada">
          <a:extLst>
            <a:ext uri="{FF2B5EF4-FFF2-40B4-BE49-F238E27FC236}">
              <a16:creationId xmlns:a16="http://schemas.microsoft.com/office/drawing/2014/main" id="{37B898FB-D58A-0447-9757-916AF70611E6}"/>
            </a:ext>
          </a:extLst>
        </xdr:cNvPr>
        <xdr:cNvSpPr>
          <a:spLocks noChangeAspect="1" noChangeArrowheads="1"/>
        </xdr:cNvSpPr>
      </xdr:nvSpPr>
      <xdr:spPr bwMode="auto">
        <a:xfrm>
          <a:off x="213360" y="3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121920</xdr:rowOff>
    </xdr:to>
    <xdr:sp macro="" textlink="">
      <xdr:nvSpPr>
        <xdr:cNvPr id="1043" name="AutoShape 19" descr="Imagem gerada">
          <a:extLst>
            <a:ext uri="{FF2B5EF4-FFF2-40B4-BE49-F238E27FC236}">
              <a16:creationId xmlns:a16="http://schemas.microsoft.com/office/drawing/2014/main" id="{5576F1E9-6305-4FE8-F09E-7F580502035D}"/>
            </a:ext>
          </a:extLst>
        </xdr:cNvPr>
        <xdr:cNvSpPr>
          <a:spLocks noChangeAspect="1" noChangeArrowheads="1"/>
        </xdr:cNvSpPr>
      </xdr:nvSpPr>
      <xdr:spPr bwMode="auto">
        <a:xfrm>
          <a:off x="213360" y="3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121920</xdr:rowOff>
    </xdr:to>
    <xdr:sp macro="" textlink="">
      <xdr:nvSpPr>
        <xdr:cNvPr id="1050" name="AutoShape 26" descr="Imagem gerada">
          <a:extLst>
            <a:ext uri="{FF2B5EF4-FFF2-40B4-BE49-F238E27FC236}">
              <a16:creationId xmlns:a16="http://schemas.microsoft.com/office/drawing/2014/main" id="{43216CB6-A19B-8310-1E15-9CF7D691E744}"/>
            </a:ext>
          </a:extLst>
        </xdr:cNvPr>
        <xdr:cNvSpPr>
          <a:spLocks noChangeAspect="1" noChangeArrowheads="1"/>
        </xdr:cNvSpPr>
      </xdr:nvSpPr>
      <xdr:spPr bwMode="auto">
        <a:xfrm>
          <a:off x="915162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1367574</xdr:colOff>
      <xdr:row>2</xdr:row>
      <xdr:rowOff>106681</xdr:rowOff>
    </xdr:from>
    <xdr:to>
      <xdr:col>14</xdr:col>
      <xdr:colOff>434339</xdr:colOff>
      <xdr:row>10</xdr:row>
      <xdr:rowOff>7621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35BA7AC-C3C4-2F8E-BE87-514F5274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9194" y="480061"/>
          <a:ext cx="1535645" cy="1363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0</xdr:colOff>
      <xdr:row>29</xdr:row>
      <xdr:rowOff>0</xdr:rowOff>
    </xdr:to>
    <xdr:graphicFrame macro="">
      <xdr:nvGraphicFramePr>
        <xdr:cNvPr id="4" name="Gráfic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D67DA1-82DA-45F2-AF40-BF7BA88AA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0.03113</cdr:x>
      <cdr:y>0.08172</cdr:y>
    </cdr:to>
    <cdr:pic>
      <cdr:nvPicPr>
        <cdr:cNvPr id="5" name="Gráfico 4" descr="Retornar para a página anterior">
          <a:extLst xmlns:a="http://schemas.openxmlformats.org/drawingml/2006/main">
            <a:ext uri="{FF2B5EF4-FFF2-40B4-BE49-F238E27FC236}">
              <a16:creationId xmlns:a16="http://schemas.microsoft.com/office/drawing/2014/main" id="{59D802A7-1E78-D51D-D46C-0E75374D1E2B}"/>
            </a:ext>
            <a:ext uri="{C183D7F6-B498-43B3-948B-1728B52AA6E4}">
              <adec:decorative xmlns:adec="http://schemas.microsoft.com/office/drawing/2017/decorative" val="0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449580" cy="44958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1028400</xdr:colOff>
      <xdr:row>28</xdr:row>
      <xdr:rowOff>380160</xdr:rowOff>
    </xdr:to>
    <xdr:graphicFrame macro="">
      <xdr:nvGraphicFramePr>
        <xdr:cNvPr id="4" name="Gráfic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74F2F2-F97F-43D4-8A20-58F173C9B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0.00035</cdr:x>
      <cdr:y>0.00092</cdr:y>
    </cdr:from>
    <cdr:to>
      <cdr:x>0.03149</cdr:x>
      <cdr:y>0.08265</cdr:y>
    </cdr:to>
    <cdr:pic>
      <cdr:nvPicPr>
        <cdr:cNvPr id="2" name="Gráfico 1" descr="Retornar para a página anterior">
          <a:extLst xmlns:a="http://schemas.openxmlformats.org/drawingml/2006/main">
            <a:ext uri="{FF2B5EF4-FFF2-40B4-BE49-F238E27FC236}">
              <a16:creationId xmlns:a16="http://schemas.microsoft.com/office/drawing/2014/main" id="{F58C8DFB-B154-2E44-724E-A66FF8DDD4FB}"/>
            </a:ext>
            <a:ext uri="{C183D7F6-B498-43B3-948B-1728B52AA6E4}">
              <adec:decorative xmlns:adec="http://schemas.microsoft.com/office/drawing/2017/decorative" val="0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" y="5080"/>
          <a:ext cx="449580" cy="449580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1028400</xdr:colOff>
      <xdr:row>28</xdr:row>
      <xdr:rowOff>380160</xdr:rowOff>
    </xdr:to>
    <xdr:graphicFrame macro="">
      <xdr:nvGraphicFramePr>
        <xdr:cNvPr id="3" name="Gráfic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CC45F-AD1A-4469-B651-9E1A41737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0.00035</cdr:x>
      <cdr:y>0.00092</cdr:y>
    </cdr:from>
    <cdr:to>
      <cdr:x>0.03149</cdr:x>
      <cdr:y>0.08265</cdr:y>
    </cdr:to>
    <cdr:pic>
      <cdr:nvPicPr>
        <cdr:cNvPr id="2" name="Gráfico 1" descr="Retornar para a página anterior">
          <a:extLst xmlns:a="http://schemas.openxmlformats.org/drawingml/2006/main">
            <a:ext uri="{FF2B5EF4-FFF2-40B4-BE49-F238E27FC236}">
              <a16:creationId xmlns:a16="http://schemas.microsoft.com/office/drawing/2014/main" id="{F58C8DFB-B154-2E44-724E-A66FF8DDD4FB}"/>
            </a:ext>
            <a:ext uri="{C183D7F6-B498-43B3-948B-1728B52AA6E4}">
              <adec:decorative xmlns:adec="http://schemas.microsoft.com/office/drawing/2017/decorative" val="0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" y="5080"/>
          <a:ext cx="449580" cy="449580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1028400</xdr:colOff>
      <xdr:row>28</xdr:row>
      <xdr:rowOff>380160</xdr:rowOff>
    </xdr:to>
    <xdr:graphicFrame macro="">
      <xdr:nvGraphicFramePr>
        <xdr:cNvPr id="3" name="Gráfic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4FF8EC-11F6-4E90-B07B-200B3C149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0.00035</cdr:x>
      <cdr:y>0.00092</cdr:y>
    </cdr:from>
    <cdr:to>
      <cdr:x>0.03149</cdr:x>
      <cdr:y>0.08265</cdr:y>
    </cdr:to>
    <cdr:pic>
      <cdr:nvPicPr>
        <cdr:cNvPr id="2" name="Gráfico 1" descr="Retornar para a página anterior">
          <a:extLst xmlns:a="http://schemas.openxmlformats.org/drawingml/2006/main">
            <a:ext uri="{FF2B5EF4-FFF2-40B4-BE49-F238E27FC236}">
              <a16:creationId xmlns:a16="http://schemas.microsoft.com/office/drawing/2014/main" id="{F58C8DFB-B154-2E44-724E-A66FF8DDD4FB}"/>
            </a:ext>
            <a:ext uri="{C183D7F6-B498-43B3-948B-1728B52AA6E4}">
              <adec:decorative xmlns:adec="http://schemas.microsoft.com/office/drawing/2017/decorative" val="0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" y="5080"/>
          <a:ext cx="449580" cy="449580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1028400</xdr:colOff>
      <xdr:row>28</xdr:row>
      <xdr:rowOff>380160</xdr:rowOff>
    </xdr:to>
    <xdr:graphicFrame macro="">
      <xdr:nvGraphicFramePr>
        <xdr:cNvPr id="4" name="Gráfic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97E74-64C3-471C-A02F-08E361104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0.00035</cdr:x>
      <cdr:y>0.00092</cdr:y>
    </cdr:from>
    <cdr:to>
      <cdr:x>0.03149</cdr:x>
      <cdr:y>0.08265</cdr:y>
    </cdr:to>
    <cdr:pic>
      <cdr:nvPicPr>
        <cdr:cNvPr id="2" name="Gráfico 1" descr="Retornar para a página anterior">
          <a:extLst xmlns:a="http://schemas.openxmlformats.org/drawingml/2006/main">
            <a:ext uri="{FF2B5EF4-FFF2-40B4-BE49-F238E27FC236}">
              <a16:creationId xmlns:a16="http://schemas.microsoft.com/office/drawing/2014/main" id="{F58C8DFB-B154-2E44-724E-A66FF8DDD4FB}"/>
            </a:ext>
            <a:ext uri="{C183D7F6-B498-43B3-948B-1728B52AA6E4}">
              <adec:decorative xmlns:adec="http://schemas.microsoft.com/office/drawing/2017/decorative" val="0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" y="5080"/>
          <a:ext cx="449580" cy="449580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449580</xdr:colOff>
      <xdr:row>2</xdr:row>
      <xdr:rowOff>68580</xdr:rowOff>
    </xdr:to>
    <xdr:pic>
      <xdr:nvPicPr>
        <xdr:cNvPr id="3" name="Gráfico 1" descr="Retornar para a página anterior">
          <a:extLst>
            <a:ext uri="{FF2B5EF4-FFF2-40B4-BE49-F238E27FC236}">
              <a16:creationId xmlns:a16="http://schemas.microsoft.com/office/drawing/2014/main" id="{00CFA48E-11D7-3505-41E6-2E09156AD60D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449580" cy="449580"/>
        </a:xfrm>
        <a:prstGeom prst="rect">
          <a:avLst/>
        </a:prstGeom>
      </xdr:spPr>
    </xdr:pic>
    <xdr:clientData/>
  </xdr:twoCellAnchor>
  <xdr:twoCellAnchor>
    <xdr:from>
      <xdr:col>0</xdr:col>
      <xdr:colOff>7620</xdr:colOff>
      <xdr:row>0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6A80E6-DD50-57A1-9238-19C0B94C78A9}"/>
            </a:ext>
          </a:extLst>
        </xdr:cNvPr>
        <xdr:cNvSpPr/>
      </xdr:nvSpPr>
      <xdr:spPr>
        <a:xfrm>
          <a:off x="7620" y="0"/>
          <a:ext cx="13670280" cy="57226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nando.j.b.casto@mail.com.br?subject=Planilha%20INVEST%20MAIS%20PRO%20-%20Simulador%20Financeiro%20-%20D&#250;vidas,%20Sugest&#245;es%20ou%20Elogio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A747-9B04-4F4A-853C-3C18208B5F5D}">
  <sheetPr codeName="Planilha2"/>
  <dimension ref="A1:S74"/>
  <sheetViews>
    <sheetView showGridLines="0" showRowColHeaders="0" tabSelected="1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B13" sqref="B13:D13"/>
    </sheetView>
  </sheetViews>
  <sheetFormatPr defaultColWidth="0" defaultRowHeight="14.4" zeroHeight="1" x14ac:dyDescent="0.3"/>
  <cols>
    <col min="1" max="1" width="6.77734375" style="1" customWidth="1"/>
    <col min="2" max="2" width="30.6640625" style="1" customWidth="1"/>
    <col min="3" max="3" width="20.77734375" style="1" customWidth="1"/>
    <col min="4" max="4" width="23.33203125" style="1" customWidth="1"/>
    <col min="5" max="8" width="2.77734375" style="1" customWidth="1"/>
    <col min="9" max="13" width="8.88671875" style="1" customWidth="1"/>
    <col min="14" max="14" width="36" style="1" customWidth="1"/>
    <col min="15" max="15" width="6.5546875" style="1" customWidth="1"/>
    <col min="16" max="16" width="6.77734375" style="1" customWidth="1"/>
    <col min="17" max="17" width="8.88671875" style="59" hidden="1" customWidth="1"/>
    <col min="18" max="18" width="9.33203125" style="1" hidden="1" customWidth="1"/>
    <col min="19" max="19" width="14.21875" style="1" hidden="1" customWidth="1"/>
    <col min="20" max="16384" width="8.88671875" style="1" hidden="1"/>
  </cols>
  <sheetData>
    <row r="1" spans="2:19" ht="18" customHeight="1" x14ac:dyDescent="0.3">
      <c r="B1" s="117" t="s">
        <v>91</v>
      </c>
      <c r="C1" s="116"/>
      <c r="M1" s="115"/>
      <c r="N1" s="118" t="s">
        <v>100</v>
      </c>
      <c r="O1" s="118"/>
    </row>
    <row r="2" spans="2:19" x14ac:dyDescent="0.3">
      <c r="B2" s="85" t="s">
        <v>42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2:19" x14ac:dyDescent="0.3">
      <c r="B3"/>
    </row>
    <row r="4" spans="2:19" x14ac:dyDescent="0.3">
      <c r="S4" s="38"/>
    </row>
    <row r="5" spans="2:19" x14ac:dyDescent="0.3">
      <c r="S5" s="38"/>
    </row>
    <row r="6" spans="2:19" x14ac:dyDescent="0.3">
      <c r="S6" s="38"/>
    </row>
    <row r="7" spans="2:19" x14ac:dyDescent="0.3">
      <c r="N7"/>
      <c r="S7" s="38"/>
    </row>
    <row r="8" spans="2:19" x14ac:dyDescent="0.3"/>
    <row r="9" spans="2:19" x14ac:dyDescent="0.3"/>
    <row r="10" spans="2:19" x14ac:dyDescent="0.3"/>
    <row r="11" spans="2:19" ht="36.6" x14ac:dyDescent="0.7">
      <c r="B11" s="86" t="s">
        <v>80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</row>
    <row r="12" spans="2:19" ht="15" thickBot="1" x14ac:dyDescent="0.35"/>
    <row r="13" spans="2:19" ht="30" customHeight="1" thickBot="1" x14ac:dyDescent="0.35">
      <c r="B13" s="91" t="s">
        <v>8</v>
      </c>
      <c r="C13" s="92"/>
      <c r="D13" s="93"/>
    </row>
    <row r="14" spans="2:19" ht="16.2" thickBot="1" x14ac:dyDescent="0.35">
      <c r="B14" s="87" t="s">
        <v>90</v>
      </c>
      <c r="C14" s="88"/>
      <c r="D14" s="18">
        <v>4200</v>
      </c>
    </row>
    <row r="15" spans="2:19" ht="16.2" thickBot="1" x14ac:dyDescent="0.35">
      <c r="B15" s="89" t="s">
        <v>41</v>
      </c>
      <c r="C15" s="90"/>
      <c r="D15" s="32">
        <v>3500</v>
      </c>
    </row>
    <row r="16" spans="2:19" ht="16.2" thickBot="1" x14ac:dyDescent="0.35">
      <c r="B16" s="89" t="s">
        <v>51</v>
      </c>
      <c r="C16" s="90"/>
      <c r="D16" s="19">
        <v>0.01</v>
      </c>
    </row>
    <row r="17" spans="1:19" ht="16.2" thickBot="1" x14ac:dyDescent="0.35">
      <c r="B17" s="29" t="s">
        <v>25</v>
      </c>
      <c r="C17" s="28">
        <v>1</v>
      </c>
      <c r="D17" s="75">
        <f>IFERROR(salario*percentual_investimento,"Enrada Inválida!!!")</f>
        <v>4200</v>
      </c>
    </row>
    <row r="18" spans="1:19" ht="15" thickBot="1" x14ac:dyDescent="0.35"/>
    <row r="19" spans="1:19" ht="30" customHeight="1" thickBot="1" x14ac:dyDescent="0.35">
      <c r="B19" s="91" t="s">
        <v>6</v>
      </c>
      <c r="C19" s="92"/>
      <c r="D19" s="93"/>
    </row>
    <row r="20" spans="1:19" ht="16.2" thickBot="1" x14ac:dyDescent="0.35">
      <c r="B20" s="87" t="s">
        <v>43</v>
      </c>
      <c r="C20" s="88"/>
      <c r="D20" s="76">
        <v>20000</v>
      </c>
    </row>
    <row r="21" spans="1:19" ht="16.2" thickBot="1" x14ac:dyDescent="0.35">
      <c r="B21" s="89" t="s">
        <v>86</v>
      </c>
      <c r="C21" s="90"/>
      <c r="D21" s="77">
        <v>500</v>
      </c>
    </row>
    <row r="22" spans="1:19" ht="16.2" thickBot="1" x14ac:dyDescent="0.35">
      <c r="B22" s="89" t="s">
        <v>45</v>
      </c>
      <c r="C22" s="90"/>
      <c r="D22" s="20">
        <v>5</v>
      </c>
      <c r="E22" s="3"/>
    </row>
    <row r="23" spans="1:19" ht="16.2" thickBot="1" x14ac:dyDescent="0.35">
      <c r="B23" s="83" t="s">
        <v>34</v>
      </c>
      <c r="C23" s="84"/>
      <c r="D23" s="23">
        <f>IFERROR(rendimento_carteira,"Enrada Inválida!!!")</f>
        <v>0.01</v>
      </c>
      <c r="E23" s="3"/>
      <c r="S23" s="39"/>
    </row>
    <row r="24" spans="1:19" ht="16.2" thickBot="1" x14ac:dyDescent="0.35">
      <c r="B24" s="83" t="s">
        <v>35</v>
      </c>
      <c r="C24" s="84"/>
      <c r="D24" s="23">
        <f>IFERROR((taxa_mensal+1)^12-1,"Enrada Inválida!!!")</f>
        <v>0.12682503013196977</v>
      </c>
      <c r="E24" s="3"/>
    </row>
    <row r="25" spans="1:19" ht="16.2" thickBot="1" x14ac:dyDescent="0.35">
      <c r="A25" s="3" t="str">
        <f t="shared" ref="A25:A30" si="0">B25</f>
        <v>Patrimônio Inicial</v>
      </c>
      <c r="B25" s="83" t="str">
        <f>B20</f>
        <v>Patrimônio Inicial</v>
      </c>
      <c r="C25" s="84"/>
      <c r="D25" s="33">
        <f>patrimonio_inicial</f>
        <v>20000</v>
      </c>
      <c r="E25" s="58">
        <f>IF(patrimonio_inicial=0,NA(),patrimonio_inicial)</f>
        <v>20000</v>
      </c>
    </row>
    <row r="26" spans="1:19" ht="16.2" thickBot="1" x14ac:dyDescent="0.35">
      <c r="A26" s="3" t="str">
        <f t="shared" si="0"/>
        <v>Juros Sobre o Partimônio Inicial</v>
      </c>
      <c r="B26" s="83" t="s">
        <v>88</v>
      </c>
      <c r="C26" s="84"/>
      <c r="D26" s="33">
        <f>IFERROR(FV(taxa_mensal,qtd_anos*12,,-patrimonio_inicial)-patrimonio_inicial,"Enrada Inválida!!!")</f>
        <v>16333.933971281826</v>
      </c>
      <c r="E26" s="58">
        <f>IF(juros_patrimonio_inicial=0,NA(),juros_patrimonio_inicial)</f>
        <v>16333.933971281826</v>
      </c>
    </row>
    <row r="27" spans="1:19" ht="16.2" thickBot="1" x14ac:dyDescent="0.35">
      <c r="A27" s="3" t="str">
        <f t="shared" si="0"/>
        <v>Total Invesido (Aporte)</v>
      </c>
      <c r="B27" s="83" t="s">
        <v>87</v>
      </c>
      <c r="C27" s="84"/>
      <c r="D27" s="33">
        <f>IFERROR(PRODUCT(qtd_anos*12,aporte),"Enrada Inválida!!!")</f>
        <v>30000</v>
      </c>
      <c r="E27" s="58">
        <f>IF(total_investido=0,NA(),total_investido)</f>
        <v>30000</v>
      </c>
    </row>
    <row r="28" spans="1:19" ht="16.2" thickBot="1" x14ac:dyDescent="0.35">
      <c r="A28" s="3" t="str">
        <f t="shared" si="0"/>
        <v>Juros Sobre Total Investido (Aportes)</v>
      </c>
      <c r="B28" s="83" t="s">
        <v>89</v>
      </c>
      <c r="C28" s="84"/>
      <c r="D28" s="33">
        <f>IFERROR(patrimonio_final-juros_patrimonio_inicial-patrimonio_inicial-total_investido,"Enrada Inválida!!!")</f>
        <v>10834.834928204575</v>
      </c>
      <c r="E28" s="58">
        <f>IF(rendimento_total=0,NA(),rendimento_total)</f>
        <v>10834.834928204575</v>
      </c>
    </row>
    <row r="29" spans="1:19" ht="16.2" thickBot="1" x14ac:dyDescent="0.35">
      <c r="A29" s="3" t="str">
        <f t="shared" si="0"/>
        <v>Patrimônio Total  Projetado</v>
      </c>
      <c r="B29" s="83" t="s">
        <v>84</v>
      </c>
      <c r="C29" s="84"/>
      <c r="D29" s="33">
        <f>IFERROR(FV(taxa_mensal,qtd_anos*12,-aporte)+juros_patrimonio_inicial+patrimonio_inicial,"Enrada Inválida!!!")</f>
        <v>77168.7688994864</v>
      </c>
      <c r="E29" s="58">
        <f>IF(patrimonio_final=0,NA(),patrimonio_final)</f>
        <v>77168.7688994864</v>
      </c>
    </row>
    <row r="30" spans="1:19" ht="16.2" thickBot="1" x14ac:dyDescent="0.35">
      <c r="A30" s="3" t="str">
        <f t="shared" si="0"/>
        <v>Renda Mensal Estimada (Dividendos Estimados)</v>
      </c>
      <c r="B30" s="81" t="s">
        <v>49</v>
      </c>
      <c r="C30" s="82"/>
      <c r="D30" s="78">
        <f>IFERROR(patrimonio_final*rendimento_carteira,"Enrada Inválida!!!")</f>
        <v>771.68768899486406</v>
      </c>
      <c r="E30" s="3"/>
    </row>
    <row r="31" spans="1:19" s="3" customFormat="1" ht="15" thickBot="1" x14ac:dyDescent="0.35">
      <c r="B31" s="57">
        <f>VALUE(SUBSTITUTE(D39," Ano(s)",""))</f>
        <v>14.6</v>
      </c>
      <c r="C31" s="58">
        <f>despesas_mensais</f>
        <v>3500</v>
      </c>
      <c r="D31" s="3" t="str">
        <f>"Independência Financeira"&amp;CHAR(10)&amp;
"📅 "&amp;B31&amp;" anos"&amp;CHAR(10)&amp;
"💰 R$ "&amp;TEXT(C31,"#.##0,00")</f>
        <v>Independência Financeira
📅 14,6 anos
💰 R$ 3.500,00</v>
      </c>
      <c r="Q31" s="60"/>
    </row>
    <row r="32" spans="1:19" ht="30" customHeight="1" thickBot="1" x14ac:dyDescent="0.35">
      <c r="B32" s="91" t="s">
        <v>30</v>
      </c>
      <c r="C32" s="92"/>
      <c r="D32" s="93"/>
    </row>
    <row r="33" spans="1:5" ht="16.2" thickBot="1" x14ac:dyDescent="0.35">
      <c r="B33" s="96" t="s">
        <v>33</v>
      </c>
      <c r="C33" s="97"/>
      <c r="D33" s="30">
        <f>IFERROR(renda_mensal_estimada/salario,"Enrada Inválida!!!")</f>
        <v>0.1837351640463962</v>
      </c>
    </row>
    <row r="34" spans="1:5" ht="16.2" thickBot="1" x14ac:dyDescent="0.35">
      <c r="B34" s="94" t="s">
        <v>40</v>
      </c>
      <c r="C34" s="95"/>
      <c r="D34" s="23">
        <f>IFERROR(renda_mensal_estimada/despesas_mensais,"Enrada Inválida!!!")</f>
        <v>0.22048219685567544</v>
      </c>
    </row>
    <row r="35" spans="1:5" ht="16.2" thickBot="1" x14ac:dyDescent="0.35">
      <c r="B35" s="94" t="s">
        <v>36</v>
      </c>
      <c r="C35" s="95"/>
      <c r="D35" s="23">
        <f>IFERROR((patrimonio_final/total_investido)^(1/qtd_anos)-1,"Enrada Inválida!!!")</f>
        <v>0.20799201466796569</v>
      </c>
    </row>
    <row r="36" spans="1:5" ht="16.2" thickBot="1" x14ac:dyDescent="0.35">
      <c r="B36" s="98" t="s">
        <v>31</v>
      </c>
      <c r="C36" s="99"/>
      <c r="D36" s="23">
        <f>IFERROR(rendimento_total/patrimonio_final,"Enrada Inválida!!!")</f>
        <v>0.1404044030081279</v>
      </c>
    </row>
    <row r="37" spans="1:5" ht="16.2" thickBot="1" x14ac:dyDescent="0.35">
      <c r="B37" s="83" t="s">
        <v>37</v>
      </c>
      <c r="C37" s="84"/>
      <c r="D37" s="33" t="str">
        <f>IFERROR(TEXT(rendimento_total/total_investido,"R$ ###.###.##0,00"),"Enrada Inválida!!!")</f>
        <v>R$ 0,36</v>
      </c>
    </row>
    <row r="38" spans="1:5" ht="16.2" thickBot="1" x14ac:dyDescent="0.35">
      <c r="B38" s="83" t="s">
        <v>38</v>
      </c>
      <c r="C38" s="84"/>
      <c r="D38" s="33">
        <f>IFERROR(despesas_mensais/rendimento_carteira,"Enrada Inválida!!!")</f>
        <v>350000</v>
      </c>
    </row>
    <row r="39" spans="1:5" ht="16.2" thickBot="1" x14ac:dyDescent="0.35">
      <c r="B39" s="83" t="s">
        <v>39</v>
      </c>
      <c r="C39" s="84"/>
      <c r="D39" s="33" t="str">
        <f>IFERROR(TEXT(NPER(taxa_mensal, -aporte, -patrimonio_inicial, patromonio_viver_renda)/12,"###.###.##0,00 ")&amp;"Ano(s)","Enrada Inválida!!!")</f>
        <v>14,60 Ano(s)</v>
      </c>
    </row>
    <row r="40" spans="1:5" ht="16.2" thickBot="1" x14ac:dyDescent="0.35">
      <c r="B40" s="81" t="s">
        <v>32</v>
      </c>
      <c r="C40" s="82"/>
      <c r="D40" s="31" t="str">
        <f>IFERROR(TEXT(LN(2)/LN(1+taxa_anual),"###.###.##0,00 ")&amp;"Ano(s)","Enrada Inválida!!!")</f>
        <v>5,81 Ano(s)</v>
      </c>
    </row>
    <row r="41" spans="1:5" ht="15" thickBot="1" x14ac:dyDescent="0.35"/>
    <row r="42" spans="1:5" ht="30" customHeight="1" thickBot="1" x14ac:dyDescent="0.35">
      <c r="B42" s="2" t="s">
        <v>7</v>
      </c>
      <c r="C42" s="52" t="s">
        <v>85</v>
      </c>
      <c r="D42" s="53" t="s">
        <v>48</v>
      </c>
      <c r="E42" s="3" t="str">
        <f>B15</f>
        <v>Gastos Mensais</v>
      </c>
    </row>
    <row r="43" spans="1:5" ht="16.2" thickBot="1" x14ac:dyDescent="0.35">
      <c r="A43" s="3">
        <v>2</v>
      </c>
      <c r="B43" s="24" t="str">
        <f>"Quanto em "&amp;A43&amp;" anos"</f>
        <v>Quanto em 2 anos</v>
      </c>
      <c r="C43" s="42">
        <f t="shared" ref="C43:C50" si="1">FV(taxa_mensal,A43*12,-aporte,-patrimonio_inicial)</f>
        <v>38881.425397234045</v>
      </c>
      <c r="D43" s="43">
        <f t="shared" ref="D43:D50" si="2">C43*rendimento_carteira</f>
        <v>388.81425397234045</v>
      </c>
      <c r="E43" s="3">
        <f t="shared" ref="E43:E50" si="3">despesas_mensais</f>
        <v>3500</v>
      </c>
    </row>
    <row r="44" spans="1:5" ht="16.2" thickBot="1" x14ac:dyDescent="0.35">
      <c r="A44" s="3">
        <v>5</v>
      </c>
      <c r="B44" s="25" t="str">
        <f t="shared" ref="B44:B50" si="4">"Quanto em "&amp;A44&amp;" anos"</f>
        <v>Quanto em 5 anos</v>
      </c>
      <c r="C44" s="40">
        <f t="shared" si="1"/>
        <v>77168.7688994864</v>
      </c>
      <c r="D44" s="44">
        <f t="shared" si="2"/>
        <v>771.68768899486406</v>
      </c>
      <c r="E44" s="3">
        <f t="shared" si="3"/>
        <v>3500</v>
      </c>
    </row>
    <row r="45" spans="1:5" ht="16.2" thickBot="1" x14ac:dyDescent="0.35">
      <c r="A45" s="3">
        <v>10</v>
      </c>
      <c r="B45" s="25" t="str">
        <f t="shared" si="4"/>
        <v>Quanto em 10 anos</v>
      </c>
      <c r="C45" s="40">
        <f t="shared" si="1"/>
        <v>181027.08262015687</v>
      </c>
      <c r="D45" s="44">
        <f t="shared" si="2"/>
        <v>1810.2708262015688</v>
      </c>
      <c r="E45" s="3">
        <f t="shared" si="3"/>
        <v>3500</v>
      </c>
    </row>
    <row r="46" spans="1:5" ht="16.2" thickBot="1" x14ac:dyDescent="0.35">
      <c r="A46" s="3">
        <v>15</v>
      </c>
      <c r="B46" s="25" t="str">
        <f t="shared" si="4"/>
        <v>Quanto em 15 anos</v>
      </c>
      <c r="C46" s="40">
        <f t="shared" si="1"/>
        <v>369706.13827493257</v>
      </c>
      <c r="D46" s="44">
        <f t="shared" si="2"/>
        <v>3697.0613827493257</v>
      </c>
      <c r="E46" s="3">
        <f t="shared" si="3"/>
        <v>3500</v>
      </c>
    </row>
    <row r="47" spans="1:5" ht="16.2" thickBot="1" x14ac:dyDescent="0.35">
      <c r="A47" s="3">
        <v>20</v>
      </c>
      <c r="B47" s="25" t="str">
        <f t="shared" si="4"/>
        <v>Quanto em 20 anos</v>
      </c>
      <c r="C47" s="40">
        <f t="shared" si="1"/>
        <v>712478.75577115407</v>
      </c>
      <c r="D47" s="44">
        <f t="shared" si="2"/>
        <v>7124.787557711541</v>
      </c>
      <c r="E47" s="3">
        <f t="shared" si="3"/>
        <v>3500</v>
      </c>
    </row>
    <row r="48" spans="1:5" ht="16.2" thickBot="1" x14ac:dyDescent="0.35">
      <c r="A48" s="3">
        <v>25</v>
      </c>
      <c r="B48" s="34" t="str">
        <f t="shared" si="4"/>
        <v>Quanto em 25 anos</v>
      </c>
      <c r="C48" s="45">
        <f t="shared" si="1"/>
        <v>1335192.6383347118</v>
      </c>
      <c r="D48" s="46">
        <f t="shared" si="2"/>
        <v>13351.926383347118</v>
      </c>
      <c r="E48" s="3">
        <f t="shared" si="3"/>
        <v>3500</v>
      </c>
    </row>
    <row r="49" spans="1:5" ht="16.2" thickBot="1" x14ac:dyDescent="0.35">
      <c r="A49" s="3">
        <v>30</v>
      </c>
      <c r="B49" s="34" t="str">
        <f t="shared" si="4"/>
        <v>Quanto em 30 anos</v>
      </c>
      <c r="C49" s="45">
        <f t="shared" si="1"/>
        <v>2466474.8929379545</v>
      </c>
      <c r="D49" s="46">
        <f t="shared" si="2"/>
        <v>24664.748929379544</v>
      </c>
      <c r="E49" s="3">
        <f t="shared" si="3"/>
        <v>3500</v>
      </c>
    </row>
    <row r="50" spans="1:5" ht="16.2" thickBot="1" x14ac:dyDescent="0.35">
      <c r="A50" s="3">
        <v>35</v>
      </c>
      <c r="B50" s="26" t="str">
        <f t="shared" si="4"/>
        <v>Quanto em 35 anos</v>
      </c>
      <c r="C50" s="41">
        <f t="shared" si="1"/>
        <v>4521671.6300198082</v>
      </c>
      <c r="D50" s="47">
        <f t="shared" si="2"/>
        <v>45216.716300198081</v>
      </c>
      <c r="E50" s="3">
        <f t="shared" si="3"/>
        <v>3500</v>
      </c>
    </row>
    <row r="51" spans="1:5" ht="15" thickBot="1" x14ac:dyDescent="0.35">
      <c r="A51" s="3" t="s">
        <v>27</v>
      </c>
    </row>
    <row r="52" spans="1:5" ht="30" customHeight="1" thickBot="1" x14ac:dyDescent="0.35">
      <c r="B52" s="2" t="s">
        <v>7</v>
      </c>
      <c r="C52" s="52" t="s">
        <v>50</v>
      </c>
      <c r="D52" s="53" t="s">
        <v>47</v>
      </c>
    </row>
    <row r="53" spans="1:5" ht="16.2" thickBot="1" x14ac:dyDescent="0.35">
      <c r="A53" s="3">
        <v>2</v>
      </c>
      <c r="B53" s="24" t="str">
        <f>"Quanto em "&amp;A53&amp;" anos"</f>
        <v>Quanto em 2 anos</v>
      </c>
      <c r="C53" s="42">
        <f t="shared" ref="C53:C60" si="5">PRODUCT(A53*12,aporte)+patrimonio_inicial</f>
        <v>32000</v>
      </c>
      <c r="D53" s="43">
        <f>C43-C53</f>
        <v>6881.4253972340448</v>
      </c>
    </row>
    <row r="54" spans="1:5" ht="16.2" thickBot="1" x14ac:dyDescent="0.35">
      <c r="A54" s="3">
        <v>5</v>
      </c>
      <c r="B54" s="25" t="str">
        <f t="shared" ref="B54:B60" si="6">"Quanto em "&amp;A54&amp;" anos"</f>
        <v>Quanto em 5 anos</v>
      </c>
      <c r="C54" s="40">
        <f t="shared" si="5"/>
        <v>50000</v>
      </c>
      <c r="D54" s="44">
        <f t="shared" ref="D54:D59" si="7">C44-C54</f>
        <v>27168.7688994864</v>
      </c>
    </row>
    <row r="55" spans="1:5" ht="16.2" thickBot="1" x14ac:dyDescent="0.35">
      <c r="A55" s="3">
        <v>10</v>
      </c>
      <c r="B55" s="25" t="str">
        <f t="shared" si="6"/>
        <v>Quanto em 10 anos</v>
      </c>
      <c r="C55" s="40">
        <f t="shared" si="5"/>
        <v>80000</v>
      </c>
      <c r="D55" s="44">
        <f t="shared" si="7"/>
        <v>101027.08262015687</v>
      </c>
    </row>
    <row r="56" spans="1:5" ht="16.2" thickBot="1" x14ac:dyDescent="0.35">
      <c r="A56" s="3">
        <v>15</v>
      </c>
      <c r="B56" s="25" t="str">
        <f t="shared" si="6"/>
        <v>Quanto em 15 anos</v>
      </c>
      <c r="C56" s="40">
        <f t="shared" si="5"/>
        <v>110000</v>
      </c>
      <c r="D56" s="44">
        <f t="shared" si="7"/>
        <v>259706.13827493257</v>
      </c>
    </row>
    <row r="57" spans="1:5" ht="16.2" thickBot="1" x14ac:dyDescent="0.35">
      <c r="A57" s="3">
        <v>20</v>
      </c>
      <c r="B57" s="25" t="str">
        <f t="shared" si="6"/>
        <v>Quanto em 20 anos</v>
      </c>
      <c r="C57" s="40">
        <f t="shared" si="5"/>
        <v>140000</v>
      </c>
      <c r="D57" s="44">
        <f t="shared" si="7"/>
        <v>572478.75577115407</v>
      </c>
    </row>
    <row r="58" spans="1:5" ht="16.2" thickBot="1" x14ac:dyDescent="0.35">
      <c r="A58" s="3">
        <v>25</v>
      </c>
      <c r="B58" s="34" t="str">
        <f t="shared" si="6"/>
        <v>Quanto em 25 anos</v>
      </c>
      <c r="C58" s="45">
        <f t="shared" si="5"/>
        <v>170000</v>
      </c>
      <c r="D58" s="46">
        <f t="shared" si="7"/>
        <v>1165192.6383347118</v>
      </c>
    </row>
    <row r="59" spans="1:5" ht="16.2" thickBot="1" x14ac:dyDescent="0.35">
      <c r="A59" s="3">
        <v>30</v>
      </c>
      <c r="B59" s="34" t="str">
        <f t="shared" si="6"/>
        <v>Quanto em 30 anos</v>
      </c>
      <c r="C59" s="45">
        <f t="shared" si="5"/>
        <v>200000</v>
      </c>
      <c r="D59" s="46">
        <f t="shared" si="7"/>
        <v>2266474.8929379545</v>
      </c>
    </row>
    <row r="60" spans="1:5" ht="16.2" thickBot="1" x14ac:dyDescent="0.35">
      <c r="A60" s="3">
        <v>35</v>
      </c>
      <c r="B60" s="26" t="str">
        <f t="shared" si="6"/>
        <v>Quanto em 35 anos</v>
      </c>
      <c r="C60" s="41">
        <f t="shared" si="5"/>
        <v>230000</v>
      </c>
      <c r="D60" s="47">
        <f>C50-C60</f>
        <v>4291671.6300198082</v>
      </c>
    </row>
    <row r="61" spans="1:5" x14ac:dyDescent="0.3"/>
    <row r="62" spans="1:5" ht="15" thickBot="1" x14ac:dyDescent="0.35"/>
    <row r="63" spans="1:5" ht="15" thickBot="1" x14ac:dyDescent="0.35">
      <c r="B63" s="21" t="s">
        <v>11</v>
      </c>
      <c r="C63" s="22" t="s">
        <v>22</v>
      </c>
    </row>
    <row r="64" spans="1:5" ht="16.2" thickBot="1" x14ac:dyDescent="0.35">
      <c r="B64" s="27" t="s">
        <v>10</v>
      </c>
      <c r="C64" s="48">
        <f>aporte</f>
        <v>500</v>
      </c>
    </row>
    <row r="65" spans="2:4" ht="15" thickBot="1" x14ac:dyDescent="0.35">
      <c r="B65" s="1" t="str">
        <f>"Percentual Sugerido para o Perfil " &amp;CHAR(10)&amp; $C$63</f>
        <v>Percentual Sugerido para o Perfil 
Moderado</v>
      </c>
    </row>
    <row r="66" spans="2:4" ht="30" customHeight="1" thickBot="1" x14ac:dyDescent="0.35">
      <c r="B66" s="2" t="s">
        <v>12</v>
      </c>
      <c r="C66" s="52" t="s">
        <v>13</v>
      </c>
      <c r="D66" s="53" t="s">
        <v>14</v>
      </c>
    </row>
    <row r="67" spans="2:4" ht="15" thickBot="1" x14ac:dyDescent="0.35">
      <c r="B67" s="14" t="s">
        <v>15</v>
      </c>
      <c r="C67" s="15">
        <f>VLOOKUP($C$63&amp;"-"&amp;B67,Apoio!A:D,4,)</f>
        <v>0.32</v>
      </c>
      <c r="D67" s="49">
        <f t="shared" ref="D67:D72" si="8">C67*investimento_mes</f>
        <v>160</v>
      </c>
    </row>
    <row r="68" spans="2:4" ht="15" thickBot="1" x14ac:dyDescent="0.35">
      <c r="B68" s="12" t="s">
        <v>16</v>
      </c>
      <c r="C68" s="13">
        <f>VLOOKUP($C$63&amp;"-"&amp;B68,Apoio!A:D,4,)</f>
        <v>0.35</v>
      </c>
      <c r="D68" s="50">
        <f t="shared" si="8"/>
        <v>175</v>
      </c>
    </row>
    <row r="69" spans="2:4" ht="15" thickBot="1" x14ac:dyDescent="0.35">
      <c r="B69" s="12" t="s">
        <v>17</v>
      </c>
      <c r="C69" s="13">
        <f>VLOOKUP($C$63&amp;"-"&amp;B69,Apoio!A:D,4,)</f>
        <v>0.08</v>
      </c>
      <c r="D69" s="50">
        <f t="shared" si="8"/>
        <v>40</v>
      </c>
    </row>
    <row r="70" spans="2:4" ht="15" thickBot="1" x14ac:dyDescent="0.35">
      <c r="B70" s="12" t="s">
        <v>18</v>
      </c>
      <c r="C70" s="13">
        <f>VLOOKUP($C$63&amp;"-"&amp;B70,Apoio!A:D,4,)</f>
        <v>0.05</v>
      </c>
      <c r="D70" s="50">
        <f t="shared" si="8"/>
        <v>25</v>
      </c>
    </row>
    <row r="71" spans="2:4" ht="15" thickBot="1" x14ac:dyDescent="0.35">
      <c r="B71" s="12" t="s">
        <v>19</v>
      </c>
      <c r="C71" s="13">
        <f>VLOOKUP($C$63&amp;"-"&amp;B71,Apoio!A:D,4,)</f>
        <v>0.1</v>
      </c>
      <c r="D71" s="50">
        <f t="shared" si="8"/>
        <v>50</v>
      </c>
    </row>
    <row r="72" spans="2:4" ht="15" thickBot="1" x14ac:dyDescent="0.35">
      <c r="B72" s="16" t="s">
        <v>20</v>
      </c>
      <c r="C72" s="17">
        <f>VLOOKUP($C$63&amp;"-"&amp;B72,Apoio!A:D,4,)</f>
        <v>0.1</v>
      </c>
      <c r="D72" s="54">
        <f t="shared" si="8"/>
        <v>50</v>
      </c>
    </row>
    <row r="73" spans="2:4" ht="15" thickBot="1" x14ac:dyDescent="0.35">
      <c r="B73" s="36" t="s">
        <v>26</v>
      </c>
      <c r="C73" s="55">
        <f>SUM(C67:C72)</f>
        <v>0.99999999999999989</v>
      </c>
      <c r="D73" s="56">
        <f>SUM(D67:D72)</f>
        <v>500</v>
      </c>
    </row>
    <row r="74" spans="2:4" x14ac:dyDescent="0.3"/>
  </sheetData>
  <sheetProtection algorithmName="SHA-512" hashValue="UYbgnGX1VVgfiMOvRCX4lNiwvSrCE2DGdKW4Wq+e+4PC8G4R9E4zeiXNIvsLfNj0VfdPDdi4SkkTt1Q8Z9PRug==" saltValue="GAjz+eXLliT2JmNGXCJStA==" spinCount="100000" sheet="1" objects="1" scenarios="1"/>
  <mergeCells count="28">
    <mergeCell ref="B30:C30"/>
    <mergeCell ref="B25:C25"/>
    <mergeCell ref="B21:C21"/>
    <mergeCell ref="B26:C26"/>
    <mergeCell ref="B29:C29"/>
    <mergeCell ref="B27:C27"/>
    <mergeCell ref="B28:C28"/>
    <mergeCell ref="B39:C39"/>
    <mergeCell ref="B34:C34"/>
    <mergeCell ref="B32:D32"/>
    <mergeCell ref="B33:C33"/>
    <mergeCell ref="B36:C36"/>
    <mergeCell ref="N1:O1"/>
    <mergeCell ref="B40:C40"/>
    <mergeCell ref="B24:C24"/>
    <mergeCell ref="B2:O2"/>
    <mergeCell ref="B11:O11"/>
    <mergeCell ref="B20:C20"/>
    <mergeCell ref="B22:C22"/>
    <mergeCell ref="B23:C23"/>
    <mergeCell ref="B19:D19"/>
    <mergeCell ref="B14:C14"/>
    <mergeCell ref="B16:C16"/>
    <mergeCell ref="B13:D13"/>
    <mergeCell ref="B35:C35"/>
    <mergeCell ref="B37:C37"/>
    <mergeCell ref="B38:C38"/>
    <mergeCell ref="B15:C15"/>
  </mergeCells>
  <conditionalFormatting sqref="D33:D34">
    <cfRule type="iconSet" priority="1">
      <iconSet iconSet="3Symbols2">
        <cfvo type="percent" val="0"/>
        <cfvo type="num" val="0.5"/>
        <cfvo type="num" val="1"/>
      </iconSet>
    </cfRule>
  </conditionalFormatting>
  <dataValidations count="9">
    <dataValidation type="list" allowBlank="1" showInputMessage="1" showErrorMessage="1" errorTitle="Perfil de Investimento" error="Seleção inválida!!!_x000a_Selecione uma opção conforme lista suspensa." promptTitle="Perfil de Investimento" prompt="Selecione o Perfil de Invesimento" sqref="C63" xr:uid="{89F5DAEE-C21B-40FC-8FFA-883A205E9548}">
      <formula1>"Conservador,Moderado,Agressivo"</formula1>
    </dataValidation>
    <dataValidation type="decimal" allowBlank="1" showInputMessage="1" showErrorMessage="1" errorTitle="Sugestão de Investimento (30%)" error="Valor inválido!!!_x000a_Utilize apenas números e valores entre 0,01% e 100,00%" promptTitle="Sugestão de Investimento (30%)" prompt="Recomendamos guardar pelo menos 30% para o seu 'eu do futuro'. Mas sinta-se livre para ajustar conforme suas possibilidades." sqref="C17" xr:uid="{2423F1FA-BD02-4B13-AFBA-F599C7EE1682}">
      <formula1>0.0001</formula1>
      <formula2>1</formula2>
    </dataValidation>
    <dataValidation type="decimal" operator="greaterThan" allowBlank="1" showInputMessage="1" showErrorMessage="1" sqref="D23" xr:uid="{36DF9D1F-D443-4FB3-B471-1F2F29AD52DF}">
      <formula1>0</formula1>
    </dataValidation>
    <dataValidation type="decimal" operator="lessThan" allowBlank="1" showInputMessage="1" showErrorMessage="1" errorTitle="Gastos Mensais" error="Valor inválido!!!_x000a_Utilize apenas números e valores maiores ou igual a zero." promptTitle="Gastos Mensais" prompt="Quanto custa sua vida hoje?_x000a_Seja sincero, incluir aquele cafezinho faz diferença na projeção real." sqref="D15" xr:uid="{DA6A827F-CA02-46C1-BBC4-7AE29E8A7974}">
      <formula1>0</formula1>
    </dataValidation>
    <dataValidation type="decimal" operator="greaterThanOrEqual" allowBlank="1" showInputMessage="1" showErrorMessage="1" errorTitle="Patrimônio Inicial" error="Valor inválido!!!_x000a_Utilize apenas números e valores maiores ou igual a zero." promptTitle="Patrimônio Inicial" prompt="Este é o seu 'pé de meia' atual._x000a_Se você está começando do zero, não se preocupe, o importante é o primeiro passo que você está dando agora!" sqref="D20" xr:uid="{071E1209-3E51-4073-8CB8-1C488354AFE2}">
      <formula1>0</formula1>
    </dataValidation>
    <dataValidation type="whole" operator="greaterThan" allowBlank="1" showInputMessage="1" showErrorMessage="1" errorTitle="Por Quantos Anos" error="Valor inválido!!!_x000a_Utilize apenas números e valores inteiros maiores que zero." promptTitle="Por Quantos Anos" prompt="Pense no longo prazo._x000a_O tempo é o melhor amigo dos juros compostos." sqref="D22" xr:uid="{1208CE91-F5D2-49F5-8F9F-AC6CB6B9DF89}">
      <formula1>0</formula1>
    </dataValidation>
    <dataValidation type="decimal" operator="greaterThan" allowBlank="1" showInputMessage="1" showErrorMessage="1" errorTitle="Salário" error="Valor inválido!!!_x000a_Utilize apenas números e valores maiores que zero." promptTitle="Salário" prompt="Ei! Insira aqui quanto você recebe líquido, depois de todos os descontos._x000a_É o ponto de partida para o seu sucesso!" sqref="D14" xr:uid="{DABF8726-CB95-4FC9-9CE3-1DE955450D18}">
      <formula1>0</formula1>
    </dataValidation>
    <dataValidation type="decimal" allowBlank="1" showInputMessage="1" showErrorMessage="1" errorTitle="Rendimento Carteira por Mês (%)" error="Valor inválido!!!_x000a_Utilize apenas números e valores entre 0,001% e 999,999%" promptTitle="Rendimento Carteira por Mês (%)" prompt="Aqui vai a mágica._x000a_Uma carteira diversificada costuma render entre 0,8% e 1,2% ao mês._x000a_Qual a sua meta?" sqref="D16" xr:uid="{F1277E5D-ED31-4DCA-B893-AF0FF5A19FE1}">
      <formula1>0.00001</formula1>
      <formula2>9.99999</formula2>
    </dataValidation>
    <dataValidation type="decimal" operator="greaterThan" allowBlank="1" showInputMessage="1" showErrorMessage="1" errorTitle="Quanto Investir por Mês" error="Valor inválido!!!_x000a_Utilize apenas números e valores maiores que zero." promptTitle="Quanto Investir por Mês" prompt="Este é o seu compromisso mensal com a sua liberdade._x000a_Constância vence a intensidade!" sqref="D21" xr:uid="{421CBAF8-8CF2-464B-9BAB-63A42B84E575}">
      <formula1>0</formula1>
    </dataValidation>
  </dataValidations>
  <hyperlinks>
    <hyperlink ref="N1:O1" r:id="rId1" tooltip="Em caso de dúvidas, sugestões ou elogios, nos envie um e-mail" display="Fale conosco: fernando.j.b.castro@gmail.com" xr:uid="{0503AF12-AD11-40D3-A6B0-68B96305E335}"/>
  </hyperlinks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B2B9-667E-4309-BA93-A38308480F40}">
  <sheetPr codeName="Planilha4"/>
  <dimension ref="A1:W41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22" width="8.88671875" style="35" customWidth="1"/>
    <col min="23" max="23" width="15" style="35" customWidth="1"/>
    <col min="24" max="16384" width="8.88671875" style="35" hidden="1"/>
  </cols>
  <sheetData>
    <row r="1" spans="1:1" x14ac:dyDescent="0.3">
      <c r="A1" s="51" t="s">
        <v>46</v>
      </c>
    </row>
    <row r="2" spans="1:1" x14ac:dyDescent="0.3"/>
    <row r="3" spans="1:1" x14ac:dyDescent="0.3"/>
    <row r="4" spans="1:1" x14ac:dyDescent="0.3"/>
    <row r="5" spans="1:1" x14ac:dyDescent="0.3"/>
    <row r="6" spans="1:1" x14ac:dyDescent="0.3"/>
    <row r="7" spans="1:1" x14ac:dyDescent="0.3"/>
    <row r="8" spans="1:1" x14ac:dyDescent="0.3"/>
    <row r="9" spans="1:1" x14ac:dyDescent="0.3"/>
    <row r="10" spans="1:1" x14ac:dyDescent="0.3"/>
    <row r="11" spans="1:1" x14ac:dyDescent="0.3"/>
    <row r="12" spans="1:1" x14ac:dyDescent="0.3"/>
    <row r="13" spans="1:1" x14ac:dyDescent="0.3"/>
    <row r="14" spans="1:1" x14ac:dyDescent="0.3"/>
    <row r="15" spans="1:1" x14ac:dyDescent="0.3"/>
    <row r="16" spans="1: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ht="30" customHeight="1" x14ac:dyDescent="0.3"/>
    <row r="30" s="35" customFormat="1" hidden="1" x14ac:dyDescent="0.3"/>
    <row r="31" s="35" customFormat="1" hidden="1" x14ac:dyDescent="0.3"/>
    <row r="32" s="35" customFormat="1" hidden="1" x14ac:dyDescent="0.3"/>
    <row r="33" s="35" customFormat="1" hidden="1" x14ac:dyDescent="0.3"/>
    <row r="34" s="35" customFormat="1" hidden="1" x14ac:dyDescent="0.3"/>
    <row r="35" s="35" customFormat="1" hidden="1" x14ac:dyDescent="0.3"/>
    <row r="36" s="35" customFormat="1" hidden="1" x14ac:dyDescent="0.3"/>
    <row r="37" s="35" customFormat="1" hidden="1" x14ac:dyDescent="0.3"/>
    <row r="38" s="35" customFormat="1" hidden="1" x14ac:dyDescent="0.3"/>
    <row r="39" s="35" customFormat="1" hidden="1" x14ac:dyDescent="0.3"/>
    <row r="40" s="35" customFormat="1" hidden="1" x14ac:dyDescent="0.3"/>
    <row r="41" s="35" customFormat="1" hidden="1" x14ac:dyDescent="0.3"/>
  </sheetData>
  <sheetProtection algorithmName="SHA-512" hashValue="cJrhVQin+GJ8fi+qY3ZyvgBpjzDtbKy28YwQ/tlqfjXgAWV9N5hkGiFgNXrSZVDvFKG200FJZn6x8/PY7oL5kQ==" saltValue="af7XY+hBe+bo5F6CffPYOA==" spinCount="100000"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0401-6E7C-430E-A595-26479BE3A79D}">
  <sheetPr codeName="Planilha7"/>
  <dimension ref="A1:W41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customHeight="1" zeroHeight="1" x14ac:dyDescent="0.3"/>
  <cols>
    <col min="1" max="22" width="8.88671875" style="35" customWidth="1"/>
    <col min="23" max="23" width="15" style="35" customWidth="1"/>
    <col min="24" max="16384" width="8.88671875" style="35" hidden="1"/>
  </cols>
  <sheetData>
    <row r="1" s="35" customFormat="1" x14ac:dyDescent="0.3"/>
    <row r="2" s="35" customFormat="1" x14ac:dyDescent="0.3"/>
    <row r="3" s="35" customFormat="1" x14ac:dyDescent="0.3"/>
    <row r="4" s="35" customFormat="1" x14ac:dyDescent="0.3"/>
    <row r="5" s="35" customFormat="1" x14ac:dyDescent="0.3"/>
    <row r="6" s="35" customFormat="1" x14ac:dyDescent="0.3"/>
    <row r="7" s="35" customFormat="1" x14ac:dyDescent="0.3"/>
    <row r="8" s="35" customFormat="1" x14ac:dyDescent="0.3"/>
    <row r="9" s="35" customFormat="1" x14ac:dyDescent="0.3"/>
    <row r="10" s="35" customFormat="1" x14ac:dyDescent="0.3"/>
    <row r="11" s="35" customFormat="1" x14ac:dyDescent="0.3"/>
    <row r="12" s="35" customFormat="1" x14ac:dyDescent="0.3"/>
    <row r="13" s="35" customFormat="1" x14ac:dyDescent="0.3"/>
    <row r="14" s="35" customFormat="1" x14ac:dyDescent="0.3"/>
    <row r="15" s="35" customFormat="1" x14ac:dyDescent="0.3"/>
    <row r="16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ht="30" customHeight="1" x14ac:dyDescent="0.3"/>
    <row r="30" s="35" customFormat="1" hidden="1" x14ac:dyDescent="0.3"/>
    <row r="31" s="35" customFormat="1" hidden="1" x14ac:dyDescent="0.3"/>
    <row r="32" s="35" customFormat="1" hidden="1" x14ac:dyDescent="0.3"/>
    <row r="33" s="35" customFormat="1" hidden="1" x14ac:dyDescent="0.3"/>
    <row r="34" s="35" customFormat="1" hidden="1" x14ac:dyDescent="0.3"/>
    <row r="35" s="35" customFormat="1" hidden="1" x14ac:dyDescent="0.3"/>
    <row r="36" s="35" customFormat="1" ht="14.4" hidden="1" customHeight="1" x14ac:dyDescent="0.3"/>
    <row r="37" s="35" customFormat="1" ht="14.4" hidden="1" customHeight="1" x14ac:dyDescent="0.3"/>
    <row r="38" s="35" customFormat="1" ht="14.4" hidden="1" customHeight="1" x14ac:dyDescent="0.3"/>
    <row r="39" s="35" customFormat="1" ht="14.4" hidden="1" customHeight="1" x14ac:dyDescent="0.3"/>
    <row r="40" s="35" customFormat="1" ht="14.4" hidden="1" customHeight="1" x14ac:dyDescent="0.3"/>
    <row r="41" s="35" customFormat="1" ht="14.4" hidden="1" customHeight="1" x14ac:dyDescent="0.3"/>
  </sheetData>
  <sheetProtection algorithmName="SHA-512" hashValue="79KoO8lInO5gXQkdPFmUaXTXM1DCMGvtzurAuL4vyr1ujfBiuZk16fK/I7f8uOc2tZfm41h1cd37tWYJc2I4xg==" saltValue="ZV7dvloA/efPkNjZ4VPNmw==" spinCount="100000"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670A-C858-4844-9C4C-400FF458B5A2}">
  <dimension ref="A1:W41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customHeight="1" zeroHeight="1" x14ac:dyDescent="0.3"/>
  <cols>
    <col min="1" max="22" width="8.88671875" style="35" customWidth="1"/>
    <col min="23" max="23" width="15" style="35" customWidth="1"/>
    <col min="24" max="16384" width="8.88671875" style="35" hidden="1"/>
  </cols>
  <sheetData>
    <row r="1" s="35" customFormat="1" x14ac:dyDescent="0.3"/>
    <row r="2" s="35" customFormat="1" x14ac:dyDescent="0.3"/>
    <row r="3" s="35" customFormat="1" x14ac:dyDescent="0.3"/>
    <row r="4" s="35" customFormat="1" x14ac:dyDescent="0.3"/>
    <row r="5" s="35" customFormat="1" x14ac:dyDescent="0.3"/>
    <row r="6" s="35" customFormat="1" x14ac:dyDescent="0.3"/>
    <row r="7" s="35" customFormat="1" x14ac:dyDescent="0.3"/>
    <row r="8" s="35" customFormat="1" x14ac:dyDescent="0.3"/>
    <row r="9" s="35" customFormat="1" x14ac:dyDescent="0.3"/>
    <row r="10" s="35" customFormat="1" x14ac:dyDescent="0.3"/>
    <row r="11" s="35" customFormat="1" x14ac:dyDescent="0.3"/>
    <row r="12" s="35" customFormat="1" x14ac:dyDescent="0.3"/>
    <row r="13" s="35" customFormat="1" x14ac:dyDescent="0.3"/>
    <row r="14" s="35" customFormat="1" x14ac:dyDescent="0.3"/>
    <row r="15" s="35" customFormat="1" x14ac:dyDescent="0.3"/>
    <row r="16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ht="30" customHeight="1" x14ac:dyDescent="0.3"/>
    <row r="30" s="35" customFormat="1" hidden="1" x14ac:dyDescent="0.3"/>
    <row r="31" s="35" customFormat="1" hidden="1" x14ac:dyDescent="0.3"/>
    <row r="32" s="35" customFormat="1" hidden="1" x14ac:dyDescent="0.3"/>
    <row r="33" s="35" customFormat="1" hidden="1" x14ac:dyDescent="0.3"/>
    <row r="34" s="35" customFormat="1" hidden="1" x14ac:dyDescent="0.3"/>
    <row r="35" s="35" customFormat="1" hidden="1" x14ac:dyDescent="0.3"/>
    <row r="36" s="35" customFormat="1" ht="14.4" hidden="1" customHeight="1" x14ac:dyDescent="0.3"/>
    <row r="37" s="35" customFormat="1" ht="14.4" hidden="1" customHeight="1" x14ac:dyDescent="0.3"/>
    <row r="38" s="35" customFormat="1" ht="14.4" hidden="1" customHeight="1" x14ac:dyDescent="0.3"/>
    <row r="39" s="35" customFormat="1" ht="14.4" hidden="1" customHeight="1" x14ac:dyDescent="0.3"/>
    <row r="40" s="35" customFormat="1" ht="14.4" hidden="1" customHeight="1" x14ac:dyDescent="0.3"/>
    <row r="41" s="35" customFormat="1" ht="14.4" hidden="1" customHeight="1" x14ac:dyDescent="0.3"/>
  </sheetData>
  <sheetProtection algorithmName="SHA-512" hashValue="8q2q0uVb+YyJn5sAhY9cAStQJ8RG5Goppuqo4ion+IpQCbBBRUBmwLbC2Xru3+73yfTCN1xtPoF9Q0jPWF+Vog==" saltValue="Y1wxMzflC8OhHgM2FwDM+A==" spinCount="100000"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8391-1242-43E4-A692-4997762E2F5A}">
  <dimension ref="A1:W41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customHeight="1" zeroHeight="1" x14ac:dyDescent="0.3"/>
  <cols>
    <col min="1" max="22" width="8.88671875" style="35" customWidth="1"/>
    <col min="23" max="23" width="15" style="35" customWidth="1"/>
    <col min="24" max="16384" width="8.88671875" style="35" hidden="1"/>
  </cols>
  <sheetData>
    <row r="1" s="35" customFormat="1" x14ac:dyDescent="0.3"/>
    <row r="2" s="35" customFormat="1" x14ac:dyDescent="0.3"/>
    <row r="3" s="35" customFormat="1" x14ac:dyDescent="0.3"/>
    <row r="4" s="35" customFormat="1" x14ac:dyDescent="0.3"/>
    <row r="5" s="35" customFormat="1" x14ac:dyDescent="0.3"/>
    <row r="6" s="35" customFormat="1" x14ac:dyDescent="0.3"/>
    <row r="7" s="35" customFormat="1" x14ac:dyDescent="0.3"/>
    <row r="8" s="35" customFormat="1" x14ac:dyDescent="0.3"/>
    <row r="9" s="35" customFormat="1" x14ac:dyDescent="0.3"/>
    <row r="10" s="35" customFormat="1" x14ac:dyDescent="0.3"/>
    <row r="11" s="35" customFormat="1" x14ac:dyDescent="0.3"/>
    <row r="12" s="35" customFormat="1" x14ac:dyDescent="0.3"/>
    <row r="13" s="35" customFormat="1" x14ac:dyDescent="0.3"/>
    <row r="14" s="35" customFormat="1" x14ac:dyDescent="0.3"/>
    <row r="15" s="35" customFormat="1" x14ac:dyDescent="0.3"/>
    <row r="16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ht="30" customHeight="1" x14ac:dyDescent="0.3"/>
    <row r="30" s="35" customFormat="1" hidden="1" x14ac:dyDescent="0.3"/>
    <row r="31" s="35" customFormat="1" hidden="1" x14ac:dyDescent="0.3"/>
    <row r="32" s="35" customFormat="1" hidden="1" x14ac:dyDescent="0.3"/>
    <row r="33" s="35" customFormat="1" hidden="1" x14ac:dyDescent="0.3"/>
    <row r="34" s="35" customFormat="1" hidden="1" x14ac:dyDescent="0.3"/>
    <row r="35" s="35" customFormat="1" hidden="1" x14ac:dyDescent="0.3"/>
    <row r="36" s="35" customFormat="1" ht="14.4" hidden="1" customHeight="1" x14ac:dyDescent="0.3"/>
    <row r="37" s="35" customFormat="1" ht="14.4" hidden="1" customHeight="1" x14ac:dyDescent="0.3"/>
    <row r="38" s="35" customFormat="1" ht="14.4" hidden="1" customHeight="1" x14ac:dyDescent="0.3"/>
    <row r="39" s="35" customFormat="1" ht="14.4" hidden="1" customHeight="1" x14ac:dyDescent="0.3"/>
    <row r="40" s="35" customFormat="1" ht="14.4" hidden="1" customHeight="1" x14ac:dyDescent="0.3"/>
    <row r="41" s="35" customFormat="1" ht="14.4" hidden="1" customHeight="1" x14ac:dyDescent="0.3"/>
  </sheetData>
  <sheetProtection algorithmName="SHA-512" hashValue="mjh3lHxBMw0YYS0DjY7OHJEHcP1yTDCZ7+wQU3z+FfpqfipHLu0iz10rKVH7D21FFXOCSsJlWcp9ULIhLr3ILA==" saltValue="2jXSNqwn63SnnTNR6DzBNA==" spinCount="100000"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9F21-99C5-468F-8DA3-7241507603D5}">
  <dimension ref="A1:W41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customHeight="1" zeroHeight="1" x14ac:dyDescent="0.3"/>
  <cols>
    <col min="1" max="22" width="8.88671875" style="35" customWidth="1"/>
    <col min="23" max="23" width="15" style="35" customWidth="1"/>
    <col min="24" max="16384" width="8.88671875" style="3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ht="30" customHeight="1" x14ac:dyDescent="0.3"/>
    <row r="30" s="35" customFormat="1" hidden="1" x14ac:dyDescent="0.3"/>
    <row r="31" s="35" customFormat="1" hidden="1" x14ac:dyDescent="0.3"/>
    <row r="32" s="35" customFormat="1" hidden="1" x14ac:dyDescent="0.3"/>
    <row r="33" s="35" customFormat="1" hidden="1" x14ac:dyDescent="0.3"/>
    <row r="34" s="35" customFormat="1" hidden="1" x14ac:dyDescent="0.3"/>
    <row r="35" s="35" customFormat="1" hidden="1" x14ac:dyDescent="0.3"/>
    <row r="36" s="35" customFormat="1" ht="14.4" hidden="1" customHeight="1" x14ac:dyDescent="0.3"/>
    <row r="37" s="35" customFormat="1" ht="14.4" hidden="1" customHeight="1" x14ac:dyDescent="0.3"/>
    <row r="38" s="35" customFormat="1" ht="14.4" hidden="1" customHeight="1" x14ac:dyDescent="0.3"/>
    <row r="39" s="35" customFormat="1" ht="14.4" hidden="1" customHeight="1" x14ac:dyDescent="0.3"/>
    <row r="40" s="35" customFormat="1" ht="14.4" hidden="1" customHeight="1" x14ac:dyDescent="0.3"/>
    <row r="41" s="35" customFormat="1" ht="14.4" hidden="1" customHeight="1" x14ac:dyDescent="0.3"/>
  </sheetData>
  <sheetProtection algorithmName="SHA-512" hashValue="MtUqur3zkP06qHzX1d3HoPSVL7qprEDOR4mnNg3ou0JxqPSw5X6ZZapfo5GZtTFXfQ66mh+0FqYzQm6XKg2OUg==" saltValue="r9rNfs3Q2ciqRoDb8/AiUQ==" spinCount="100000"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0E62-DBDB-4B49-A07B-EC464579830C}">
  <dimension ref="A1:G32"/>
  <sheetViews>
    <sheetView showGridLines="0" showRowColHeaders="0" zoomScaleNormal="100" workbookViewId="0">
      <selection activeCell="Z1" sqref="Z1"/>
    </sheetView>
  </sheetViews>
  <sheetFormatPr defaultColWidth="0" defaultRowHeight="14.4" zeroHeight="1" x14ac:dyDescent="0.3"/>
  <cols>
    <col min="1" max="1" width="6.77734375" style="63" customWidth="1"/>
    <col min="2" max="2" width="90.77734375" style="63" customWidth="1"/>
    <col min="3" max="3" width="2.77734375" style="63" customWidth="1"/>
    <col min="4" max="4" width="30.77734375" style="63" customWidth="1"/>
    <col min="5" max="5" width="40.77734375" style="63" customWidth="1"/>
    <col min="6" max="6" width="20.77734375" style="63" customWidth="1"/>
    <col min="7" max="7" width="6.77734375" style="63" customWidth="1"/>
    <col min="8" max="16384" width="8.88671875" style="63" hidden="1"/>
  </cols>
  <sheetData>
    <row r="1" spans="2:6" ht="15" customHeight="1" x14ac:dyDescent="0.3"/>
    <row r="2" spans="2:6" s="1" customFormat="1" ht="15" customHeight="1" x14ac:dyDescent="0.3">
      <c r="B2" s="85" t="s">
        <v>42</v>
      </c>
      <c r="C2" s="85"/>
      <c r="D2" s="85"/>
      <c r="E2" s="85"/>
      <c r="F2" s="85"/>
    </row>
    <row r="3" spans="2:6" s="1" customFormat="1" ht="15" customHeight="1" thickBot="1" x14ac:dyDescent="0.35"/>
    <row r="4" spans="2:6" ht="39.6" thickBot="1" x14ac:dyDescent="0.35">
      <c r="B4" s="101" t="s">
        <v>79</v>
      </c>
      <c r="C4" s="102"/>
      <c r="D4" s="102"/>
      <c r="E4" s="102"/>
      <c r="F4" s="102"/>
    </row>
    <row r="5" spans="2:6" ht="4.95" customHeight="1" x14ac:dyDescent="0.3"/>
    <row r="6" spans="2:6" ht="15" customHeight="1" x14ac:dyDescent="0.3">
      <c r="B6" s="108" t="s">
        <v>52</v>
      </c>
      <c r="C6" s="108"/>
      <c r="D6" s="108"/>
      <c r="E6" s="108"/>
      <c r="F6" s="108"/>
    </row>
    <row r="7" spans="2:6" ht="4.95" customHeight="1" thickBot="1" x14ac:dyDescent="0.35"/>
    <row r="8" spans="2:6" ht="30" customHeight="1" thickBot="1" x14ac:dyDescent="0.35">
      <c r="B8" s="64" t="s">
        <v>53</v>
      </c>
      <c r="D8" s="91" t="s">
        <v>78</v>
      </c>
      <c r="E8" s="92"/>
      <c r="F8" s="92"/>
    </row>
    <row r="9" spans="2:6" ht="15" customHeight="1" thickBot="1" x14ac:dyDescent="0.35">
      <c r="B9" s="65" t="s">
        <v>54</v>
      </c>
      <c r="D9" s="66" t="s">
        <v>64</v>
      </c>
      <c r="E9" s="66" t="s">
        <v>66</v>
      </c>
      <c r="F9" s="66" t="s">
        <v>65</v>
      </c>
    </row>
    <row r="10" spans="2:6" ht="15" customHeight="1" thickBot="1" x14ac:dyDescent="0.35">
      <c r="B10" s="65" t="s">
        <v>55</v>
      </c>
      <c r="D10" s="79" t="s">
        <v>90</v>
      </c>
      <c r="E10" s="68" t="s">
        <v>81</v>
      </c>
      <c r="F10" s="67" t="s">
        <v>67</v>
      </c>
    </row>
    <row r="11" spans="2:6" ht="15" customHeight="1" thickBot="1" x14ac:dyDescent="0.35">
      <c r="B11" s="65" t="s">
        <v>56</v>
      </c>
      <c r="D11" s="61" t="s">
        <v>41</v>
      </c>
      <c r="E11" s="70" t="s">
        <v>69</v>
      </c>
      <c r="F11" s="69" t="s">
        <v>68</v>
      </c>
    </row>
    <row r="12" spans="2:6" ht="15" customHeight="1" thickBot="1" x14ac:dyDescent="0.35">
      <c r="B12" s="65" t="s">
        <v>57</v>
      </c>
      <c r="D12" s="61" t="s">
        <v>51</v>
      </c>
      <c r="E12" s="72" t="s">
        <v>70</v>
      </c>
      <c r="F12" s="71" t="s">
        <v>83</v>
      </c>
    </row>
    <row r="13" spans="2:6" ht="15" customHeight="1" thickBot="1" x14ac:dyDescent="0.35">
      <c r="B13" s="65" t="s">
        <v>58</v>
      </c>
      <c r="D13" s="61" t="s">
        <v>25</v>
      </c>
      <c r="E13" s="72" t="s">
        <v>71</v>
      </c>
      <c r="F13" s="71" t="s">
        <v>82</v>
      </c>
    </row>
    <row r="14" spans="2:6" ht="15" customHeight="1" thickBot="1" x14ac:dyDescent="0.35">
      <c r="D14" s="61" t="s">
        <v>43</v>
      </c>
      <c r="E14" s="72" t="s">
        <v>72</v>
      </c>
      <c r="F14" s="71" t="s">
        <v>68</v>
      </c>
    </row>
    <row r="15" spans="2:6" ht="15" customHeight="1" thickBot="1" x14ac:dyDescent="0.35">
      <c r="B15" s="103" t="s">
        <v>59</v>
      </c>
      <c r="D15" s="61" t="s">
        <v>44</v>
      </c>
      <c r="E15" s="72" t="s">
        <v>73</v>
      </c>
      <c r="F15" s="71" t="s">
        <v>67</v>
      </c>
    </row>
    <row r="16" spans="2:6" ht="15" customHeight="1" thickBot="1" x14ac:dyDescent="0.35">
      <c r="B16" s="104"/>
      <c r="D16" s="62" t="s">
        <v>74</v>
      </c>
      <c r="E16" s="74" t="s">
        <v>75</v>
      </c>
      <c r="F16" s="73" t="s">
        <v>67</v>
      </c>
    </row>
    <row r="17" spans="2:7" ht="15" customHeight="1" thickBot="1" x14ac:dyDescent="0.35">
      <c r="B17" s="65" t="s">
        <v>60</v>
      </c>
    </row>
    <row r="18" spans="2:7" ht="15" customHeight="1" thickBot="1" x14ac:dyDescent="0.35">
      <c r="B18" s="65" t="s">
        <v>61</v>
      </c>
      <c r="D18" s="106" t="s">
        <v>77</v>
      </c>
      <c r="E18" s="107"/>
      <c r="F18" s="107"/>
    </row>
    <row r="19" spans="2:7" ht="15" customHeight="1" thickBot="1" x14ac:dyDescent="0.35">
      <c r="B19" s="65" t="s">
        <v>62</v>
      </c>
      <c r="D19" s="109" t="s">
        <v>21</v>
      </c>
      <c r="E19" s="110"/>
      <c r="F19" s="110"/>
    </row>
    <row r="20" spans="2:7" ht="15" customHeight="1" thickBot="1" x14ac:dyDescent="0.35">
      <c r="D20" s="111" t="s">
        <v>22</v>
      </c>
      <c r="E20" s="112"/>
      <c r="F20" s="112"/>
    </row>
    <row r="21" spans="2:7" ht="15" customHeight="1" thickBot="1" x14ac:dyDescent="0.35">
      <c r="B21" s="103" t="s">
        <v>92</v>
      </c>
      <c r="D21" s="113" t="s">
        <v>9</v>
      </c>
      <c r="E21" s="114"/>
      <c r="F21" s="114"/>
    </row>
    <row r="22" spans="2:7" ht="15" customHeight="1" x14ac:dyDescent="0.3">
      <c r="B22" s="104"/>
    </row>
    <row r="23" spans="2:7" ht="15" customHeight="1" x14ac:dyDescent="0.3">
      <c r="B23" s="63" t="s">
        <v>63</v>
      </c>
      <c r="D23" s="105" t="s">
        <v>76</v>
      </c>
      <c r="E23" s="105"/>
      <c r="F23" s="105"/>
    </row>
    <row r="24" spans="2:7" x14ac:dyDescent="0.3">
      <c r="B24" s="63" t="s">
        <v>93</v>
      </c>
      <c r="G24" s="80"/>
    </row>
    <row r="25" spans="2:7" x14ac:dyDescent="0.3">
      <c r="B25" s="63" t="s">
        <v>94</v>
      </c>
      <c r="E25" s="100" t="s">
        <v>96</v>
      </c>
      <c r="F25" s="100"/>
      <c r="G25" s="80"/>
    </row>
    <row r="26" spans="2:7" x14ac:dyDescent="0.3">
      <c r="B26" s="63" t="s">
        <v>95</v>
      </c>
      <c r="E26" s="100" t="s">
        <v>97</v>
      </c>
      <c r="F26" s="100"/>
      <c r="G26" s="80"/>
    </row>
    <row r="27" spans="2:7" x14ac:dyDescent="0.3">
      <c r="E27" s="100" t="s">
        <v>98</v>
      </c>
      <c r="F27" s="100"/>
      <c r="G27" s="80"/>
    </row>
    <row r="28" spans="2:7" x14ac:dyDescent="0.3">
      <c r="E28" s="100" t="s">
        <v>99</v>
      </c>
      <c r="F28" s="100"/>
      <c r="G28" s="80"/>
    </row>
    <row r="29" spans="2:7" x14ac:dyDescent="0.3">
      <c r="F29" s="80"/>
      <c r="G29" s="80"/>
    </row>
    <row r="32" spans="2:7" ht="15" hidden="1" customHeight="1" x14ac:dyDescent="0.3"/>
  </sheetData>
  <sheetProtection algorithmName="SHA-512" hashValue="Okylgv0l55thE/Ruk/PnPxFR1uX25RMglr0CuKbkDRJjH7WOP00QhJethBu8XjPCUrIB7JdZ4IMbtcAPATXceA==" saltValue="fqvEVTbyK2I71q1y/T0N+Q==" spinCount="100000" sheet="1" objects="1" scenarios="1" selectLockedCells="1"/>
  <mergeCells count="15">
    <mergeCell ref="E25:F25"/>
    <mergeCell ref="E26:F26"/>
    <mergeCell ref="E27:F27"/>
    <mergeCell ref="E28:F28"/>
    <mergeCell ref="B2:F2"/>
    <mergeCell ref="B4:F4"/>
    <mergeCell ref="B15:B16"/>
    <mergeCell ref="D23:F23"/>
    <mergeCell ref="D18:F18"/>
    <mergeCell ref="B6:F6"/>
    <mergeCell ref="D19:F19"/>
    <mergeCell ref="D20:F20"/>
    <mergeCell ref="D21:F21"/>
    <mergeCell ref="B21:B22"/>
    <mergeCell ref="D8:F8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3A3C-3F24-4A27-835A-BDC45DD5BDAE}">
  <sheetPr codeName="Planilha1"/>
  <dimension ref="A1:B6"/>
  <sheetViews>
    <sheetView workbookViewId="0">
      <selection activeCell="B2" sqref="B2:B6"/>
    </sheetView>
  </sheetViews>
  <sheetFormatPr defaultRowHeight="14.4" x14ac:dyDescent="0.3"/>
  <cols>
    <col min="1" max="1" width="3.44140625" customWidth="1"/>
  </cols>
  <sheetData>
    <row r="1" spans="1:2" x14ac:dyDescent="0.3">
      <c r="A1" t="s">
        <v>5</v>
      </c>
    </row>
    <row r="2" spans="1:2" x14ac:dyDescent="0.3">
      <c r="B2" t="s">
        <v>3</v>
      </c>
    </row>
    <row r="3" spans="1:2" x14ac:dyDescent="0.3">
      <c r="B3" t="s">
        <v>0</v>
      </c>
    </row>
    <row r="4" spans="1:2" x14ac:dyDescent="0.3">
      <c r="B4" t="s">
        <v>1</v>
      </c>
    </row>
    <row r="5" spans="1:2" x14ac:dyDescent="0.3">
      <c r="B5" t="s">
        <v>2</v>
      </c>
    </row>
    <row r="6" spans="1:2" x14ac:dyDescent="0.3">
      <c r="B6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608E-678A-4CAA-9443-283122A68760}">
  <sheetPr codeName="Planilha5"/>
  <dimension ref="C3:D3"/>
  <sheetViews>
    <sheetView workbookViewId="0">
      <selection activeCell="C4" sqref="C4"/>
    </sheetView>
  </sheetViews>
  <sheetFormatPr defaultRowHeight="14.4" x14ac:dyDescent="0.3"/>
  <cols>
    <col min="3" max="3" width="13.6640625" bestFit="1" customWidth="1"/>
  </cols>
  <sheetData>
    <row r="3" spans="3:4" x14ac:dyDescent="0.3">
      <c r="C3" t="s">
        <v>29</v>
      </c>
      <c r="D3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148F-A79E-45F4-B36F-A1FDA05CBCB3}">
  <sheetPr codeName="Planilha6"/>
  <dimension ref="A1:E20"/>
  <sheetViews>
    <sheetView workbookViewId="0">
      <selection activeCell="G23" sqref="G23"/>
    </sheetView>
  </sheetViews>
  <sheetFormatPr defaultRowHeight="14.4" x14ac:dyDescent="0.3"/>
  <cols>
    <col min="1" max="1" width="26" bestFit="1" customWidth="1"/>
    <col min="2" max="2" width="11.21875" bestFit="1" customWidth="1"/>
    <col min="3" max="3" width="14.77734375" bestFit="1" customWidth="1"/>
  </cols>
  <sheetData>
    <row r="1" spans="1:5" ht="15" thickBot="1" x14ac:dyDescent="0.35"/>
    <row r="2" spans="1:5" ht="15" thickBot="1" x14ac:dyDescent="0.35">
      <c r="A2" s="11" t="s">
        <v>23</v>
      </c>
      <c r="B2" s="11" t="s">
        <v>11</v>
      </c>
      <c r="C2" s="11" t="s">
        <v>12</v>
      </c>
      <c r="D2" s="11" t="s">
        <v>24</v>
      </c>
    </row>
    <row r="3" spans="1:5" x14ac:dyDescent="0.3">
      <c r="A3" s="4" t="str">
        <f>B3&amp;"-"&amp;C3</f>
        <v>Conservador-Papel</v>
      </c>
      <c r="B3" s="4" t="s">
        <v>21</v>
      </c>
      <c r="C3" s="5" t="s">
        <v>15</v>
      </c>
      <c r="D3" s="8">
        <v>0.3</v>
      </c>
    </row>
    <row r="4" spans="1:5" x14ac:dyDescent="0.3">
      <c r="A4" t="str">
        <f t="shared" ref="A4:A20" si="0">B4&amp;"-"&amp;C4</f>
        <v>Conservador-Tijolo</v>
      </c>
      <c r="B4" t="s">
        <v>21</v>
      </c>
      <c r="C4" s="1" t="s">
        <v>16</v>
      </c>
      <c r="D4" s="9">
        <v>0.5</v>
      </c>
    </row>
    <row r="5" spans="1:5" x14ac:dyDescent="0.3">
      <c r="A5" t="str">
        <f t="shared" si="0"/>
        <v>Conservador-Híbridos</v>
      </c>
      <c r="B5" t="s">
        <v>21</v>
      </c>
      <c r="C5" s="1" t="s">
        <v>17</v>
      </c>
      <c r="D5" s="9">
        <v>0.1</v>
      </c>
    </row>
    <row r="6" spans="1:5" x14ac:dyDescent="0.3">
      <c r="A6" t="str">
        <f t="shared" si="0"/>
        <v>Conservador-FOF's</v>
      </c>
      <c r="B6" t="s">
        <v>21</v>
      </c>
      <c r="C6" s="1" t="s">
        <v>18</v>
      </c>
      <c r="D6" s="9">
        <v>0.1</v>
      </c>
    </row>
    <row r="7" spans="1:5" x14ac:dyDescent="0.3">
      <c r="A7" t="str">
        <f t="shared" si="0"/>
        <v>Conservador-Desenvolvimento</v>
      </c>
      <c r="B7" t="s">
        <v>21</v>
      </c>
      <c r="C7" s="1" t="s">
        <v>19</v>
      </c>
      <c r="D7" s="9">
        <v>0</v>
      </c>
    </row>
    <row r="8" spans="1:5" ht="15" thickBot="1" x14ac:dyDescent="0.35">
      <c r="A8" s="6" t="str">
        <f t="shared" si="0"/>
        <v>Conservador-Hotelarias</v>
      </c>
      <c r="B8" s="6" t="s">
        <v>21</v>
      </c>
      <c r="C8" s="7" t="s">
        <v>20</v>
      </c>
      <c r="D8" s="10">
        <v>0</v>
      </c>
      <c r="E8" s="37">
        <f>SUM(D3:D8)</f>
        <v>1</v>
      </c>
    </row>
    <row r="9" spans="1:5" x14ac:dyDescent="0.3">
      <c r="A9" s="4" t="str">
        <f t="shared" si="0"/>
        <v>Moderado-Papel</v>
      </c>
      <c r="B9" s="4" t="s">
        <v>22</v>
      </c>
      <c r="C9" s="5" t="s">
        <v>15</v>
      </c>
      <c r="D9" s="8">
        <v>0.32</v>
      </c>
    </row>
    <row r="10" spans="1:5" x14ac:dyDescent="0.3">
      <c r="A10" t="str">
        <f t="shared" si="0"/>
        <v>Moderado-Tijolo</v>
      </c>
      <c r="B10" t="s">
        <v>22</v>
      </c>
      <c r="C10" s="1" t="s">
        <v>16</v>
      </c>
      <c r="D10" s="9">
        <v>0.35</v>
      </c>
    </row>
    <row r="11" spans="1:5" x14ac:dyDescent="0.3">
      <c r="A11" t="str">
        <f t="shared" si="0"/>
        <v>Moderado-Híbridos</v>
      </c>
      <c r="B11" t="s">
        <v>22</v>
      </c>
      <c r="C11" s="1" t="s">
        <v>17</v>
      </c>
      <c r="D11" s="9">
        <v>0.08</v>
      </c>
    </row>
    <row r="12" spans="1:5" x14ac:dyDescent="0.3">
      <c r="A12" t="str">
        <f t="shared" si="0"/>
        <v>Moderado-FOF's</v>
      </c>
      <c r="B12" t="s">
        <v>22</v>
      </c>
      <c r="C12" s="1" t="s">
        <v>18</v>
      </c>
      <c r="D12" s="9">
        <v>0.05</v>
      </c>
    </row>
    <row r="13" spans="1:5" x14ac:dyDescent="0.3">
      <c r="A13" t="str">
        <f t="shared" si="0"/>
        <v>Moderado-Desenvolvimento</v>
      </c>
      <c r="B13" t="s">
        <v>22</v>
      </c>
      <c r="C13" s="1" t="s">
        <v>19</v>
      </c>
      <c r="D13" s="9">
        <v>0.1</v>
      </c>
    </row>
    <row r="14" spans="1:5" ht="15" thickBot="1" x14ac:dyDescent="0.35">
      <c r="A14" s="6" t="str">
        <f t="shared" si="0"/>
        <v>Moderado-Hotelarias</v>
      </c>
      <c r="B14" s="6" t="s">
        <v>22</v>
      </c>
      <c r="C14" s="7" t="s">
        <v>20</v>
      </c>
      <c r="D14" s="10">
        <v>0.1</v>
      </c>
      <c r="E14" s="37">
        <f>SUM(D9:D14)</f>
        <v>0.99999999999999989</v>
      </c>
    </row>
    <row r="15" spans="1:5" x14ac:dyDescent="0.3">
      <c r="A15" s="4" t="str">
        <f t="shared" si="0"/>
        <v>Agressivo-Papel</v>
      </c>
      <c r="B15" s="4" t="s">
        <v>9</v>
      </c>
      <c r="C15" s="5" t="s">
        <v>15</v>
      </c>
      <c r="D15" s="8">
        <v>0.5</v>
      </c>
    </row>
    <row r="16" spans="1:5" x14ac:dyDescent="0.3">
      <c r="A16" t="str">
        <f t="shared" si="0"/>
        <v>Agressivo-Tijolo</v>
      </c>
      <c r="B16" t="s">
        <v>9</v>
      </c>
      <c r="C16" s="1" t="s">
        <v>16</v>
      </c>
      <c r="D16" s="9">
        <v>0.1</v>
      </c>
    </row>
    <row r="17" spans="1:5" x14ac:dyDescent="0.3">
      <c r="A17" t="str">
        <f t="shared" si="0"/>
        <v>Agressivo-Híbridos</v>
      </c>
      <c r="B17" t="s">
        <v>9</v>
      </c>
      <c r="C17" s="1" t="s">
        <v>17</v>
      </c>
      <c r="D17" s="9">
        <v>0.05</v>
      </c>
    </row>
    <row r="18" spans="1:5" x14ac:dyDescent="0.3">
      <c r="A18" t="str">
        <f t="shared" si="0"/>
        <v>Agressivo-FOF's</v>
      </c>
      <c r="B18" t="s">
        <v>9</v>
      </c>
      <c r="C18" s="1" t="s">
        <v>18</v>
      </c>
      <c r="D18" s="9">
        <v>0.05</v>
      </c>
    </row>
    <row r="19" spans="1:5" x14ac:dyDescent="0.3">
      <c r="A19" t="str">
        <f t="shared" si="0"/>
        <v>Agressivo-Desenvolvimento</v>
      </c>
      <c r="B19" t="s">
        <v>9</v>
      </c>
      <c r="C19" s="1" t="s">
        <v>19</v>
      </c>
      <c r="D19" s="9">
        <v>0.2</v>
      </c>
    </row>
    <row r="20" spans="1:5" ht="15" thickBot="1" x14ac:dyDescent="0.35">
      <c r="A20" s="6" t="str">
        <f t="shared" si="0"/>
        <v>Agressivo-Hotelarias</v>
      </c>
      <c r="B20" s="6" t="s">
        <v>9</v>
      </c>
      <c r="C20" s="7" t="s">
        <v>20</v>
      </c>
      <c r="D20" s="10">
        <v>0.1</v>
      </c>
      <c r="E20" s="37">
        <f>SUM(D15:D20)</f>
        <v>1.0000000000000002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18</vt:i4>
      </vt:variant>
    </vt:vector>
  </HeadingPairs>
  <TitlesOfParts>
    <vt:vector size="28" baseType="lpstr">
      <vt:lpstr>Principal</vt:lpstr>
      <vt:lpstr>Gráfico1</vt:lpstr>
      <vt:lpstr>Gráfico2</vt:lpstr>
      <vt:lpstr>Gráfico3</vt:lpstr>
      <vt:lpstr>Gráfico4</vt:lpstr>
      <vt:lpstr>Gráfico5</vt:lpstr>
      <vt:lpstr>Ajuda</vt:lpstr>
      <vt:lpstr>Perguntas</vt:lpstr>
      <vt:lpstr>Cores</vt:lpstr>
      <vt:lpstr>Apoio</vt:lpstr>
      <vt:lpstr>aporte</vt:lpstr>
      <vt:lpstr>CAGR</vt:lpstr>
      <vt:lpstr>despesas_mensais</vt:lpstr>
      <vt:lpstr>investimento_mes</vt:lpstr>
      <vt:lpstr>juros_patrimonio_inicial</vt:lpstr>
      <vt:lpstr>patrimonio_final</vt:lpstr>
      <vt:lpstr>patrimonio_inicial</vt:lpstr>
      <vt:lpstr>patromonio_viver_renda</vt:lpstr>
      <vt:lpstr>percentual_investimento</vt:lpstr>
      <vt:lpstr>qtd_anos</vt:lpstr>
      <vt:lpstr>renda_mensal_estimada</vt:lpstr>
      <vt:lpstr>rendimento_carteira</vt:lpstr>
      <vt:lpstr>rendimento_total</vt:lpstr>
      <vt:lpstr>salario</vt:lpstr>
      <vt:lpstr>sugestao_investimento</vt:lpstr>
      <vt:lpstr>taxa_anual</vt:lpstr>
      <vt:lpstr>taxa_mensal</vt:lpstr>
      <vt:lpstr>total_investido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Barbosa Castro</dc:creator>
  <cp:lastModifiedBy>Fernando Jose Barbosa Castro</cp:lastModifiedBy>
  <dcterms:created xsi:type="dcterms:W3CDTF">2026-01-05T00:11:13Z</dcterms:created>
  <dcterms:modified xsi:type="dcterms:W3CDTF">2026-02-01T13:10:15Z</dcterms:modified>
</cp:coreProperties>
</file>